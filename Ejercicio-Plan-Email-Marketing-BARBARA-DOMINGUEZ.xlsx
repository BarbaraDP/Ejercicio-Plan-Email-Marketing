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/>
  <mc:AlternateContent xmlns:mc="http://schemas.openxmlformats.org/markup-compatibility/2006">
    <mc:Choice Requires="x15">
      <x15ac:absPath xmlns:x15ac="http://schemas.microsoft.com/office/spreadsheetml/2010/11/ac" url="/Users/raquelgijon/Desktop/Bootcamp OM/Email MKT- Mailchimp/"/>
    </mc:Choice>
  </mc:AlternateContent>
  <xr:revisionPtr revIDLastSave="0" documentId="13_ncr:1_{217A28C4-1AEE-A448-A2C1-7762E55E6139}" xr6:coauthVersionLast="43" xr6:coauthVersionMax="43" xr10:uidLastSave="{00000000-0000-0000-0000-000000000000}"/>
  <bookViews>
    <workbookView xWindow="0" yWindow="500" windowWidth="28800" windowHeight="15980" activeTab="1" xr2:uid="{00000000-000D-0000-FFFF-FFFF00000000}"/>
  </bookViews>
  <sheets>
    <sheet name="Plan Newsletter - 2022" sheetId="1" r:id="rId1"/>
    <sheet name="Calendario Newsletter" sheetId="3" r:id="rId2"/>
    <sheet name="Marzo" sheetId="5" r:id="rId3"/>
    <sheet name="Abril" sheetId="6" r:id="rId4"/>
    <sheet name="Junio" sheetId="7" r:id="rId5"/>
    <sheet name="Julio" sheetId="11" r:id="rId6"/>
    <sheet name="Noviembre" sheetId="12" r:id="rId7"/>
    <sheet name="Diciembre" sheetId="13" r:id="rId8"/>
  </sheets>
  <externalReferences>
    <externalReference r:id="rId9"/>
  </externalReferences>
  <definedNames>
    <definedName name="CalendarYear">[1]ENERO!$C$3</definedName>
    <definedName name="DaysAndWeeks">{0,1,2,3,4,5,6} + {0;1;2;3;4;5}*7</definedName>
    <definedName name="WeekStart">[1]ENERO!$E$3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1" i="13" l="1" a="1"/>
  <c r="I21" i="13" s="1"/>
  <c r="C19" i="13" a="1"/>
  <c r="I19" i="13" s="1"/>
  <c r="C17" i="13" a="1"/>
  <c r="I17" i="13" s="1"/>
  <c r="C15" i="13" a="1"/>
  <c r="I15" i="13" s="1"/>
  <c r="C13" i="13" a="1"/>
  <c r="I13" i="13" s="1"/>
  <c r="C11" i="13" a="1"/>
  <c r="I11" i="13" s="1"/>
  <c r="I10" i="13" s="1"/>
  <c r="C10" i="13"/>
  <c r="C21" i="12" a="1"/>
  <c r="I21" i="12" s="1"/>
  <c r="C19" i="12" a="1"/>
  <c r="I19" i="12" s="1"/>
  <c r="C17" i="12" a="1"/>
  <c r="I17" i="12" s="1"/>
  <c r="C15" i="12" a="1"/>
  <c r="I15" i="12" s="1"/>
  <c r="C13" i="12" a="1"/>
  <c r="I13" i="12" s="1"/>
  <c r="C11" i="12" a="1"/>
  <c r="I11" i="12" s="1"/>
  <c r="I10" i="12" s="1"/>
  <c r="C10" i="12"/>
  <c r="C21" i="11" a="1"/>
  <c r="I21" i="11" s="1"/>
  <c r="C19" i="11" a="1"/>
  <c r="I19" i="11" s="1"/>
  <c r="C17" i="11" a="1"/>
  <c r="I17" i="11" s="1"/>
  <c r="C15" i="11" a="1"/>
  <c r="I15" i="11" s="1"/>
  <c r="C13" i="11" a="1"/>
  <c r="I13" i="11" s="1"/>
  <c r="C11" i="11" a="1"/>
  <c r="I11" i="11" s="1"/>
  <c r="I10" i="11" s="1"/>
  <c r="C10" i="11"/>
  <c r="B83" i="3" a="1"/>
  <c r="H83" i="3" s="1"/>
  <c r="B81" i="3" a="1"/>
  <c r="H81" i="3" s="1"/>
  <c r="B79" i="3" a="1"/>
  <c r="H79" i="3" s="1"/>
  <c r="B77" i="3" a="1"/>
  <c r="H77" i="3" s="1"/>
  <c r="B75" i="3" a="1"/>
  <c r="H75" i="3" s="1"/>
  <c r="B73" i="3" a="1"/>
  <c r="H73" i="3" s="1"/>
  <c r="H72" i="3" s="1"/>
  <c r="B72" i="3"/>
  <c r="J67" i="3" a="1"/>
  <c r="P67" i="3" s="1"/>
  <c r="J65" i="3" a="1"/>
  <c r="P65" i="3" s="1"/>
  <c r="J63" i="3" a="1"/>
  <c r="P63" i="3" s="1"/>
  <c r="J61" i="3" a="1"/>
  <c r="P61" i="3" s="1"/>
  <c r="J59" i="3" a="1"/>
  <c r="P59" i="3" s="1"/>
  <c r="J57" i="3" a="1"/>
  <c r="P57" i="3" s="1"/>
  <c r="P56" i="3" s="1"/>
  <c r="J56" i="3"/>
  <c r="B67" i="3" a="1"/>
  <c r="H67" i="3" s="1"/>
  <c r="B65" i="3" a="1"/>
  <c r="H65" i="3" s="1"/>
  <c r="B63" i="3" a="1"/>
  <c r="H63" i="3" s="1"/>
  <c r="B61" i="3" a="1"/>
  <c r="H61" i="3" s="1"/>
  <c r="B59" i="3" a="1"/>
  <c r="H59" i="3" s="1"/>
  <c r="B57" i="3" a="1"/>
  <c r="H57" i="3" s="1"/>
  <c r="H56" i="3" s="1"/>
  <c r="B56" i="3"/>
  <c r="F11" i="13" l="1"/>
  <c r="F10" i="13" s="1"/>
  <c r="F13" i="13"/>
  <c r="F15" i="13"/>
  <c r="F17" i="13"/>
  <c r="F19" i="13"/>
  <c r="F21" i="13"/>
  <c r="C11" i="13"/>
  <c r="G11" i="13"/>
  <c r="G10" i="13" s="1"/>
  <c r="C13" i="13"/>
  <c r="G13" i="13"/>
  <c r="C15" i="13"/>
  <c r="G15" i="13"/>
  <c r="C17" i="13"/>
  <c r="G17" i="13"/>
  <c r="C19" i="13"/>
  <c r="G19" i="13"/>
  <c r="C21" i="13"/>
  <c r="G21" i="13"/>
  <c r="D11" i="13"/>
  <c r="D10" i="13" s="1"/>
  <c r="H11" i="13"/>
  <c r="H10" i="13" s="1"/>
  <c r="D13" i="13"/>
  <c r="H13" i="13"/>
  <c r="D15" i="13"/>
  <c r="H15" i="13"/>
  <c r="D17" i="13"/>
  <c r="H17" i="13"/>
  <c r="D19" i="13"/>
  <c r="H19" i="13"/>
  <c r="D21" i="13"/>
  <c r="H21" i="13"/>
  <c r="E11" i="13"/>
  <c r="E10" i="13" s="1"/>
  <c r="E13" i="13"/>
  <c r="E15" i="13"/>
  <c r="E17" i="13"/>
  <c r="E19" i="13"/>
  <c r="E21" i="13"/>
  <c r="F11" i="12"/>
  <c r="F10" i="12" s="1"/>
  <c r="F13" i="12"/>
  <c r="F15" i="12"/>
  <c r="F17" i="12"/>
  <c r="F19" i="12"/>
  <c r="F21" i="12"/>
  <c r="C11" i="12"/>
  <c r="G11" i="12"/>
  <c r="G10" i="12" s="1"/>
  <c r="C13" i="12"/>
  <c r="G13" i="12"/>
  <c r="C15" i="12"/>
  <c r="G15" i="12"/>
  <c r="C17" i="12"/>
  <c r="G17" i="12"/>
  <c r="C19" i="12"/>
  <c r="G19" i="12"/>
  <c r="C21" i="12"/>
  <c r="G21" i="12"/>
  <c r="D11" i="12"/>
  <c r="D10" i="12" s="1"/>
  <c r="H11" i="12"/>
  <c r="H10" i="12" s="1"/>
  <c r="D13" i="12"/>
  <c r="H13" i="12"/>
  <c r="D15" i="12"/>
  <c r="H15" i="12"/>
  <c r="D17" i="12"/>
  <c r="H17" i="12"/>
  <c r="D19" i="12"/>
  <c r="H19" i="12"/>
  <c r="D21" i="12"/>
  <c r="H21" i="12"/>
  <c r="E11" i="12"/>
  <c r="E10" i="12" s="1"/>
  <c r="E13" i="12"/>
  <c r="E15" i="12"/>
  <c r="E17" i="12"/>
  <c r="E19" i="12"/>
  <c r="E21" i="12"/>
  <c r="F11" i="11"/>
  <c r="F10" i="11" s="1"/>
  <c r="F15" i="11"/>
  <c r="F17" i="11"/>
  <c r="F19" i="11"/>
  <c r="F21" i="11"/>
  <c r="C11" i="11"/>
  <c r="G11" i="11"/>
  <c r="G10" i="11" s="1"/>
  <c r="C13" i="11"/>
  <c r="G13" i="11"/>
  <c r="C15" i="11"/>
  <c r="G15" i="11"/>
  <c r="C17" i="11"/>
  <c r="G17" i="11"/>
  <c r="C19" i="11"/>
  <c r="G19" i="11"/>
  <c r="C21" i="11"/>
  <c r="G21" i="11"/>
  <c r="F13" i="11"/>
  <c r="D11" i="11"/>
  <c r="D10" i="11" s="1"/>
  <c r="H11" i="11"/>
  <c r="H10" i="11" s="1"/>
  <c r="D13" i="11"/>
  <c r="H13" i="11"/>
  <c r="D15" i="11"/>
  <c r="H15" i="11"/>
  <c r="D17" i="11"/>
  <c r="H17" i="11"/>
  <c r="D19" i="11"/>
  <c r="H19" i="11"/>
  <c r="D21" i="11"/>
  <c r="H21" i="11"/>
  <c r="E11" i="11"/>
  <c r="E10" i="11" s="1"/>
  <c r="E13" i="11"/>
  <c r="E15" i="11"/>
  <c r="E17" i="11"/>
  <c r="E19" i="11"/>
  <c r="E21" i="11"/>
  <c r="E79" i="3"/>
  <c r="B73" i="3"/>
  <c r="F73" i="3"/>
  <c r="F72" i="3" s="1"/>
  <c r="B75" i="3"/>
  <c r="F75" i="3"/>
  <c r="B77" i="3"/>
  <c r="F77" i="3"/>
  <c r="B79" i="3"/>
  <c r="F79" i="3"/>
  <c r="B81" i="3"/>
  <c r="F81" i="3"/>
  <c r="B83" i="3"/>
  <c r="F83" i="3"/>
  <c r="E73" i="3"/>
  <c r="E72" i="3" s="1"/>
  <c r="E75" i="3"/>
  <c r="E81" i="3"/>
  <c r="E83" i="3"/>
  <c r="C73" i="3"/>
  <c r="C72" i="3" s="1"/>
  <c r="G73" i="3"/>
  <c r="G72" i="3" s="1"/>
  <c r="C75" i="3"/>
  <c r="G75" i="3"/>
  <c r="C77" i="3"/>
  <c r="G77" i="3"/>
  <c r="C79" i="3"/>
  <c r="G79" i="3"/>
  <c r="C81" i="3"/>
  <c r="G81" i="3"/>
  <c r="C83" i="3"/>
  <c r="G83" i="3"/>
  <c r="E77" i="3"/>
  <c r="D73" i="3"/>
  <c r="D72" i="3" s="1"/>
  <c r="D75" i="3"/>
  <c r="D77" i="3"/>
  <c r="D79" i="3"/>
  <c r="D81" i="3"/>
  <c r="D83" i="3"/>
  <c r="M57" i="3"/>
  <c r="M56" i="3" s="1"/>
  <c r="M67" i="3"/>
  <c r="M65" i="3"/>
  <c r="N67" i="3"/>
  <c r="M59" i="3"/>
  <c r="M63" i="3"/>
  <c r="K57" i="3"/>
  <c r="K56" i="3" s="1"/>
  <c r="O57" i="3"/>
  <c r="O56" i="3" s="1"/>
  <c r="K59" i="3"/>
  <c r="O59" i="3"/>
  <c r="K61" i="3"/>
  <c r="O61" i="3"/>
  <c r="K63" i="3"/>
  <c r="O63" i="3"/>
  <c r="K65" i="3"/>
  <c r="O65" i="3"/>
  <c r="K67" i="3"/>
  <c r="O67" i="3"/>
  <c r="M61" i="3"/>
  <c r="J57" i="3"/>
  <c r="N57" i="3"/>
  <c r="N56" i="3" s="1"/>
  <c r="J59" i="3"/>
  <c r="N59" i="3"/>
  <c r="J61" i="3"/>
  <c r="N61" i="3"/>
  <c r="J63" i="3"/>
  <c r="N63" i="3"/>
  <c r="J65" i="3"/>
  <c r="N65" i="3"/>
  <c r="J67" i="3"/>
  <c r="L57" i="3"/>
  <c r="L56" i="3" s="1"/>
  <c r="L59" i="3"/>
  <c r="L61" i="3"/>
  <c r="L63" i="3"/>
  <c r="L65" i="3"/>
  <c r="L67" i="3"/>
  <c r="E67" i="3"/>
  <c r="E63" i="3"/>
  <c r="E65" i="3"/>
  <c r="B57" i="3"/>
  <c r="F57" i="3"/>
  <c r="F56" i="3" s="1"/>
  <c r="B59" i="3"/>
  <c r="F59" i="3"/>
  <c r="B61" i="3"/>
  <c r="F61" i="3"/>
  <c r="B63" i="3"/>
  <c r="F63" i="3"/>
  <c r="B65" i="3"/>
  <c r="F65" i="3"/>
  <c r="B67" i="3"/>
  <c r="F67" i="3"/>
  <c r="E57" i="3"/>
  <c r="E56" i="3" s="1"/>
  <c r="E59" i="3"/>
  <c r="E61" i="3"/>
  <c r="C57" i="3"/>
  <c r="C56" i="3" s="1"/>
  <c r="G57" i="3"/>
  <c r="G56" i="3" s="1"/>
  <c r="C59" i="3"/>
  <c r="G59" i="3"/>
  <c r="C61" i="3"/>
  <c r="G61" i="3"/>
  <c r="C63" i="3"/>
  <c r="G63" i="3"/>
  <c r="C65" i="3"/>
  <c r="G65" i="3"/>
  <c r="C67" i="3"/>
  <c r="G67" i="3"/>
  <c r="D57" i="3"/>
  <c r="D56" i="3" s="1"/>
  <c r="D59" i="3"/>
  <c r="D61" i="3"/>
  <c r="D63" i="3"/>
  <c r="D65" i="3"/>
  <c r="D67" i="3"/>
  <c r="B40" i="3"/>
  <c r="J24" i="3"/>
  <c r="B24" i="3"/>
  <c r="C10" i="7"/>
  <c r="C10" i="6"/>
  <c r="C10" i="5"/>
  <c r="B49" i="3" a="1"/>
  <c r="F49" i="3" s="1"/>
  <c r="B47" i="3" a="1"/>
  <c r="B47" i="3" s="1"/>
  <c r="B45" i="3" a="1"/>
  <c r="B43" i="3" a="1"/>
  <c r="H43" i="3" s="1"/>
  <c r="B41" i="3" a="1"/>
  <c r="E41" i="3" s="1"/>
  <c r="E40" i="3" s="1"/>
  <c r="B51" i="3" a="1"/>
  <c r="H51" i="3" s="1"/>
  <c r="J31" i="3" a="1"/>
  <c r="P31" i="3" s="1"/>
  <c r="J35" i="3" a="1"/>
  <c r="J29" i="3" a="1"/>
  <c r="K29" i="3" s="1"/>
  <c r="J33" i="3" a="1"/>
  <c r="O33" i="3" s="1"/>
  <c r="J25" i="3" a="1"/>
  <c r="O25" i="3" s="1"/>
  <c r="O24" i="3" s="1"/>
  <c r="B33" i="3" a="1"/>
  <c r="B27" i="3" a="1"/>
  <c r="E27" i="3" s="1"/>
  <c r="B35" i="3" a="1"/>
  <c r="H35" i="3" s="1"/>
  <c r="B29" i="3" a="1"/>
  <c r="D29" i="3" s="1"/>
  <c r="B31" i="3" a="1"/>
  <c r="B25" i="3" a="1"/>
  <c r="D25" i="3" s="1"/>
  <c r="D24" i="3" s="1"/>
  <c r="C21" i="7" a="1"/>
  <c r="H21" i="7" s="1"/>
  <c r="C17" i="7" a="1"/>
  <c r="E17" i="7" s="1"/>
  <c r="C15" i="7" a="1"/>
  <c r="C13" i="7" a="1"/>
  <c r="C19" i="7" a="1"/>
  <c r="I19" i="7" s="1"/>
  <c r="C11" i="7" a="1"/>
  <c r="E11" i="7" s="1"/>
  <c r="E10" i="7" s="1"/>
  <c r="C19" i="6" a="1"/>
  <c r="C13" i="6" a="1"/>
  <c r="C21" i="6" a="1"/>
  <c r="D21" i="6" s="1"/>
  <c r="C15" i="6" a="1"/>
  <c r="H15" i="6" s="1"/>
  <c r="C17" i="6" a="1"/>
  <c r="C11" i="6" a="1"/>
  <c r="E11" i="6" s="1"/>
  <c r="E10" i="6" s="1"/>
  <c r="C19" i="5" a="1"/>
  <c r="H19" i="5" s="1"/>
  <c r="C11" i="5" a="1"/>
  <c r="E11" i="5" s="1"/>
  <c r="E10" i="5" s="1"/>
  <c r="C21" i="5" a="1"/>
  <c r="E21" i="5" s="1"/>
  <c r="C15" i="5" a="1"/>
  <c r="I15" i="5" s="1"/>
  <c r="C17" i="5" a="1"/>
  <c r="I17" i="5" s="1"/>
  <c r="C13" i="5" a="1"/>
  <c r="H13" i="5" s="1"/>
  <c r="B43" i="3"/>
  <c r="E43" i="3"/>
  <c r="G43" i="3"/>
  <c r="C43" i="3"/>
  <c r="F45" i="3"/>
  <c r="B45" i="3"/>
  <c r="E45" i="3"/>
  <c r="H45" i="3"/>
  <c r="D45" i="3"/>
  <c r="G45" i="3"/>
  <c r="C45" i="3"/>
  <c r="B51" i="3"/>
  <c r="F47" i="3"/>
  <c r="D47" i="3"/>
  <c r="B41" i="3"/>
  <c r="H49" i="3"/>
  <c r="P35" i="3"/>
  <c r="L35" i="3"/>
  <c r="O35" i="3"/>
  <c r="K35" i="3"/>
  <c r="N35" i="3"/>
  <c r="J35" i="3"/>
  <c r="M35" i="3"/>
  <c r="L25" i="3"/>
  <c r="L24" i="3" s="1"/>
  <c r="J33" i="3"/>
  <c r="E29" i="3"/>
  <c r="H31" i="3"/>
  <c r="D31" i="3"/>
  <c r="G31" i="3"/>
  <c r="C31" i="3"/>
  <c r="F31" i="3"/>
  <c r="B31" i="3"/>
  <c r="E31" i="3"/>
  <c r="H33" i="3"/>
  <c r="D33" i="3"/>
  <c r="E33" i="3"/>
  <c r="G33" i="3"/>
  <c r="C33" i="3"/>
  <c r="F33" i="3"/>
  <c r="B33" i="3"/>
  <c r="I13" i="7"/>
  <c r="E13" i="7"/>
  <c r="H13" i="7"/>
  <c r="D13" i="7"/>
  <c r="G13" i="7"/>
  <c r="C13" i="7"/>
  <c r="F13" i="7"/>
  <c r="I15" i="7"/>
  <c r="E15" i="7"/>
  <c r="H15" i="7"/>
  <c r="D15" i="7"/>
  <c r="G15" i="7"/>
  <c r="C15" i="7"/>
  <c r="F15" i="7"/>
  <c r="D11" i="7"/>
  <c r="D10" i="7" s="1"/>
  <c r="C11" i="7"/>
  <c r="D19" i="7"/>
  <c r="G17" i="7"/>
  <c r="I21" i="7"/>
  <c r="E21" i="7"/>
  <c r="C21" i="7"/>
  <c r="E21" i="6"/>
  <c r="C21" i="6"/>
  <c r="I11" i="6"/>
  <c r="I10" i="6" s="1"/>
  <c r="H11" i="6"/>
  <c r="H10" i="6" s="1"/>
  <c r="D11" i="6"/>
  <c r="D10" i="6" s="1"/>
  <c r="G11" i="6"/>
  <c r="G10" i="6" s="1"/>
  <c r="F11" i="6"/>
  <c r="F10" i="6"/>
  <c r="I17" i="6"/>
  <c r="E17" i="6"/>
  <c r="H17" i="6"/>
  <c r="D17" i="6"/>
  <c r="G17" i="6"/>
  <c r="C17" i="6"/>
  <c r="F17" i="6"/>
  <c r="I13" i="6"/>
  <c r="E13" i="6"/>
  <c r="F13" i="6"/>
  <c r="H13" i="6"/>
  <c r="D13" i="6"/>
  <c r="G13" i="6"/>
  <c r="C13" i="6"/>
  <c r="F15" i="6"/>
  <c r="I19" i="6"/>
  <c r="E19" i="6"/>
  <c r="F19" i="6"/>
  <c r="H19" i="6"/>
  <c r="D19" i="6"/>
  <c r="G19" i="6"/>
  <c r="C19" i="6"/>
  <c r="H15" i="5"/>
  <c r="D15" i="5"/>
  <c r="C15" i="5"/>
  <c r="E19" i="5"/>
  <c r="G19" i="5"/>
  <c r="C19" i="5"/>
  <c r="C21" i="5"/>
  <c r="F21" i="5"/>
  <c r="G11" i="5"/>
  <c r="G10" i="5" s="1"/>
  <c r="G21" i="5"/>
  <c r="D21" i="5"/>
  <c r="F13" i="5"/>
  <c r="E35" i="3" l="1"/>
  <c r="L33" i="3"/>
  <c r="C47" i="3"/>
  <c r="E47" i="3"/>
  <c r="D51" i="3"/>
  <c r="G51" i="3"/>
  <c r="G35" i="3"/>
  <c r="N33" i="3"/>
  <c r="H47" i="3"/>
  <c r="C51" i="3"/>
  <c r="F51" i="3"/>
  <c r="P33" i="3"/>
  <c r="G47" i="3"/>
  <c r="E51" i="3"/>
  <c r="C27" i="3"/>
  <c r="H27" i="3"/>
  <c r="C25" i="3"/>
  <c r="C24" i="3" s="1"/>
  <c r="J29" i="3"/>
  <c r="L29" i="3"/>
  <c r="F27" i="3"/>
  <c r="D27" i="3"/>
  <c r="F25" i="3"/>
  <c r="F24" i="3" s="1"/>
  <c r="H25" i="3"/>
  <c r="H24" i="3" s="1"/>
  <c r="M29" i="3"/>
  <c r="O29" i="3"/>
  <c r="D41" i="3"/>
  <c r="D40" i="3" s="1"/>
  <c r="G27" i="3"/>
  <c r="E25" i="3"/>
  <c r="E24" i="3" s="1"/>
  <c r="G25" i="3"/>
  <c r="G24" i="3" s="1"/>
  <c r="N29" i="3"/>
  <c r="P29" i="3"/>
  <c r="B27" i="3"/>
  <c r="B25" i="3"/>
  <c r="C17" i="5"/>
  <c r="D17" i="5"/>
  <c r="C11" i="6"/>
  <c r="F19" i="7"/>
  <c r="D13" i="5"/>
  <c r="G13" i="5"/>
  <c r="F19" i="5"/>
  <c r="I15" i="6"/>
  <c r="G21" i="6"/>
  <c r="G21" i="7"/>
  <c r="D17" i="7"/>
  <c r="H19" i="7"/>
  <c r="B35" i="3"/>
  <c r="H29" i="3"/>
  <c r="C11" i="5"/>
  <c r="D11" i="5"/>
  <c r="D10" i="5" s="1"/>
  <c r="C13" i="5"/>
  <c r="E15" i="6"/>
  <c r="G15" i="6"/>
  <c r="H21" i="6"/>
  <c r="I17" i="7"/>
  <c r="F11" i="7"/>
  <c r="F10" i="7" s="1"/>
  <c r="I11" i="7"/>
  <c r="I10" i="7" s="1"/>
  <c r="H17" i="5"/>
  <c r="I13" i="5"/>
  <c r="F17" i="5"/>
  <c r="D19" i="5"/>
  <c r="I19" i="5"/>
  <c r="G15" i="5"/>
  <c r="E15" i="5"/>
  <c r="D15" i="6"/>
  <c r="F21" i="6"/>
  <c r="I21" i="6"/>
  <c r="D21" i="7"/>
  <c r="F17" i="7"/>
  <c r="H17" i="7"/>
  <c r="C19" i="7"/>
  <c r="E19" i="7"/>
  <c r="H11" i="7"/>
  <c r="H10" i="7" s="1"/>
  <c r="F35" i="3"/>
  <c r="D35" i="3"/>
  <c r="K31" i="3"/>
  <c r="K33" i="3"/>
  <c r="J25" i="3"/>
  <c r="D43" i="3"/>
  <c r="F43" i="3"/>
  <c r="H21" i="5"/>
  <c r="E17" i="5"/>
  <c r="F11" i="5"/>
  <c r="F10" i="5" s="1"/>
  <c r="I11" i="5"/>
  <c r="I10" i="5" s="1"/>
  <c r="F15" i="5"/>
  <c r="C15" i="6"/>
  <c r="F21" i="7"/>
  <c r="C17" i="7"/>
  <c r="G19" i="7"/>
  <c r="G11" i="7"/>
  <c r="G10" i="7" s="1"/>
  <c r="C35" i="3"/>
  <c r="M33" i="3"/>
  <c r="O31" i="3"/>
  <c r="C29" i="3"/>
  <c r="N31" i="3"/>
  <c r="P25" i="3"/>
  <c r="P24" i="3" s="1"/>
  <c r="C49" i="3"/>
  <c r="E49" i="3"/>
  <c r="C41" i="3"/>
  <c r="C40" i="3" s="1"/>
  <c r="H41" i="3"/>
  <c r="H40" i="3" s="1"/>
  <c r="B29" i="3"/>
  <c r="G29" i="3"/>
  <c r="M31" i="3"/>
  <c r="L31" i="3"/>
  <c r="K25" i="3"/>
  <c r="K24" i="3" s="1"/>
  <c r="G49" i="3"/>
  <c r="B49" i="3"/>
  <c r="G41" i="3"/>
  <c r="G40" i="3" s="1"/>
  <c r="F41" i="3"/>
  <c r="F40" i="3" s="1"/>
  <c r="N25" i="3"/>
  <c r="N24" i="3" s="1"/>
  <c r="F29" i="3"/>
  <c r="J31" i="3"/>
  <c r="M25" i="3"/>
  <c r="M24" i="3" s="1"/>
  <c r="D49" i="3"/>
  <c r="I21" i="5"/>
  <c r="E13" i="5"/>
  <c r="H11" i="5"/>
  <c r="H10" i="5" s="1"/>
  <c r="G17" i="5"/>
</calcChain>
</file>

<file path=xl/sharedStrings.xml><?xml version="1.0" encoding="utf-8"?>
<sst xmlns="http://schemas.openxmlformats.org/spreadsheetml/2006/main" count="82" uniqueCount="62">
  <si>
    <t>NOVIEMBRE</t>
  </si>
  <si>
    <t>DICIEMBRE</t>
  </si>
  <si>
    <t>Plan email marketing</t>
  </si>
  <si>
    <t xml:space="preserve">Contenido de la newsletter </t>
  </si>
  <si>
    <t>Campaña</t>
  </si>
  <si>
    <t>Fecha de campaña</t>
  </si>
  <si>
    <t>Fecha de envío</t>
  </si>
  <si>
    <t>Formato</t>
  </si>
  <si>
    <t>Objetivo</t>
  </si>
  <si>
    <t xml:space="preserve">Etiquetas </t>
  </si>
  <si>
    <t>Infografía y Artículos</t>
  </si>
  <si>
    <t xml:space="preserve">Notoriedad /Tráfico </t>
  </si>
  <si>
    <t xml:space="preserve">Vídeo </t>
  </si>
  <si>
    <t xml:space="preserve">A partir de Noviembre </t>
  </si>
  <si>
    <t>Monográfico Webinar</t>
  </si>
  <si>
    <t>Captación</t>
  </si>
  <si>
    <t xml:space="preserve">Suscriptores Blog </t>
  </si>
  <si>
    <t>Todo CRM</t>
  </si>
  <si>
    <t>Público objetivo / Buyer Persona</t>
  </si>
  <si>
    <t>Campaña Trekking</t>
  </si>
  <si>
    <t>Zapatillas Trekking</t>
  </si>
  <si>
    <t>Primavera</t>
  </si>
  <si>
    <t>Tag Trekking</t>
  </si>
  <si>
    <t>Campaña Verano</t>
  </si>
  <si>
    <t>Bañadores</t>
  </si>
  <si>
    <t>Verano</t>
  </si>
  <si>
    <t>Primera semana
Junio</t>
  </si>
  <si>
    <t>Tag Verano</t>
  </si>
  <si>
    <t>A partir Julio</t>
  </si>
  <si>
    <t>Segunda semana
Julio</t>
  </si>
  <si>
    <t xml:space="preserve">Tag Evento </t>
  </si>
  <si>
    <t>Campaña Primavera</t>
  </si>
  <si>
    <t>Camisetas y sudaderas</t>
  </si>
  <si>
    <t>Segunda semana
Marzo</t>
  </si>
  <si>
    <t>Tag Primavera</t>
  </si>
  <si>
    <t>Campaña Navidad</t>
  </si>
  <si>
    <t>Regalos</t>
  </si>
  <si>
    <t xml:space="preserve">Tag Navidad </t>
  </si>
  <si>
    <t>Tag Evento Navidad</t>
  </si>
  <si>
    <t>Evento Navidad</t>
  </si>
  <si>
    <t>Evento Verano</t>
  </si>
  <si>
    <t xml:space="preserve">Primera semana          Noviembre </t>
  </si>
  <si>
    <t xml:space="preserve">A partir de Diciembre </t>
  </si>
  <si>
    <t>Plan Email Marketing NOMBRE EMPRESA -  2022</t>
  </si>
  <si>
    <t>MARZO</t>
  </si>
  <si>
    <t>JUNIO</t>
  </si>
  <si>
    <t>JULIO</t>
  </si>
  <si>
    <t>última semana
de Abril</t>
  </si>
  <si>
    <t>ABRIL</t>
  </si>
  <si>
    <t>CAMPAÑA PRIMAVERA</t>
  </si>
  <si>
    <t>CAMPAÑA TREKKING</t>
  </si>
  <si>
    <t>CAMPAÑA VERANO</t>
  </si>
  <si>
    <t>EVENTO VERANO</t>
  </si>
  <si>
    <t>CAMPAÑA NAVIDAD</t>
  </si>
  <si>
    <t>EVENTO NAVIDAD</t>
  </si>
  <si>
    <t xml:space="preserve">Tercera semana          Diciembre </t>
  </si>
  <si>
    <r>
      <rPr>
        <b/>
        <sz val="16"/>
        <color indexed="8"/>
        <rFont val="Montserrat-Regular"/>
      </rPr>
      <t>CAMPAÑA PRIMAVERA
Asunto</t>
    </r>
    <r>
      <rPr>
        <b/>
        <sz val="16"/>
        <color rgb="FF0070C0"/>
        <rFont val="Montserrat-Regular"/>
      </rPr>
      <t>:</t>
    </r>
    <r>
      <rPr>
        <b/>
        <sz val="16"/>
        <color indexed="8"/>
        <rFont val="Montserrat-Regular"/>
      </rPr>
      <t xml:space="preserve"> Tendecias para esta Primavera</t>
    </r>
    <r>
      <rPr>
        <sz val="16"/>
        <color indexed="23"/>
        <rFont val="Montserrat-Regular"/>
      </rPr>
      <t xml:space="preserve">                                                             
</t>
    </r>
    <r>
      <rPr>
        <sz val="16"/>
        <color indexed="8"/>
        <rFont val="Montserrat-Regular"/>
      </rPr>
      <t xml:space="preserve">INFOGRAFÍA </t>
    </r>
    <r>
      <rPr>
        <sz val="16"/>
        <color theme="0" tint="-0.499984740745262"/>
        <rFont val="Montserrat-Regular"/>
      </rPr>
      <t xml:space="preserve"> URL del contenido para la infografía</t>
    </r>
    <r>
      <rPr>
        <sz val="16"/>
        <color indexed="23"/>
        <rFont val="Montserrat-Regular"/>
      </rPr>
      <t xml:space="preserve">                                                                                        
</t>
    </r>
    <r>
      <rPr>
        <sz val="16"/>
        <color theme="1"/>
        <rFont val="Montserrat-Regular"/>
      </rPr>
      <t>ARTÍCULOS</t>
    </r>
    <r>
      <rPr>
        <sz val="16"/>
        <color indexed="23"/>
        <rFont val="Montserrat-Regular"/>
      </rPr>
      <t xml:space="preserve"> </t>
    </r>
    <r>
      <rPr>
        <b/>
        <sz val="16"/>
        <color rgb="FF808080"/>
        <rFont val="Montserrat-Regular"/>
      </rPr>
      <t>URLs de artículos</t>
    </r>
  </si>
  <si>
    <r>
      <rPr>
        <b/>
        <sz val="11"/>
        <color indexed="8"/>
        <rFont val="Montserrat-Regular"/>
      </rPr>
      <t>CAMPAÑA Trekking
Asunto</t>
    </r>
    <r>
      <rPr>
        <b/>
        <sz val="11"/>
        <color rgb="FF0070C0"/>
        <rFont val="Montserrat-Regular"/>
      </rPr>
      <t>:</t>
    </r>
    <r>
      <rPr>
        <b/>
        <sz val="11"/>
        <color indexed="8"/>
        <rFont val="Montserrat-Regular"/>
      </rPr>
      <t xml:space="preserve"> Comienza la Temporada de Trekking</t>
    </r>
    <r>
      <rPr>
        <sz val="11"/>
        <color indexed="23"/>
        <rFont val="Montserrat-Regular"/>
      </rPr>
      <t xml:space="preserve">                                                             
</t>
    </r>
    <r>
      <rPr>
        <sz val="11"/>
        <color indexed="8"/>
        <rFont val="Montserrat-Regular"/>
      </rPr>
      <t xml:space="preserve">INFOGRAFÍA </t>
    </r>
    <r>
      <rPr>
        <sz val="11"/>
        <color theme="0" tint="-0.499984740745262"/>
        <rFont val="Montserrat-Regular"/>
      </rPr>
      <t xml:space="preserve"> URL del contenido para la infografía</t>
    </r>
    <r>
      <rPr>
        <sz val="11"/>
        <color indexed="23"/>
        <rFont val="Montserrat-Regular"/>
      </rPr>
      <t xml:space="preserve">                                                                                        
</t>
    </r>
    <r>
      <rPr>
        <sz val="11"/>
        <color theme="1"/>
        <rFont val="Montserrat-Regular"/>
      </rPr>
      <t>ARTÍCULOS</t>
    </r>
    <r>
      <rPr>
        <sz val="11"/>
        <color indexed="23"/>
        <rFont val="Montserrat-Regular"/>
      </rPr>
      <t xml:space="preserve"> </t>
    </r>
    <r>
      <rPr>
        <b/>
        <sz val="11"/>
        <color rgb="FF808080"/>
        <rFont val="Montserrat-Regular"/>
      </rPr>
      <t>URLs de artículos</t>
    </r>
  </si>
  <si>
    <r>
      <rPr>
        <b/>
        <sz val="11"/>
        <color indexed="8"/>
        <rFont val="Montserrat-Regular"/>
      </rPr>
      <t>CAMPAÑA VERANO
Asunto</t>
    </r>
    <r>
      <rPr>
        <b/>
        <sz val="11"/>
        <color rgb="FF0070C0"/>
        <rFont val="Montserrat-Regular"/>
      </rPr>
      <t>:</t>
    </r>
    <r>
      <rPr>
        <b/>
        <sz val="11"/>
        <color indexed="8"/>
        <rFont val="Montserrat-Regular"/>
      </rPr>
      <t xml:space="preserve"> Verano edición limitada</t>
    </r>
    <r>
      <rPr>
        <sz val="11"/>
        <color indexed="23"/>
        <rFont val="Montserrat-Regular"/>
      </rPr>
      <t xml:space="preserve">                                                             
</t>
    </r>
    <r>
      <rPr>
        <sz val="11"/>
        <color indexed="8"/>
        <rFont val="Montserrat-Regular"/>
      </rPr>
      <t xml:space="preserve">INFOGRAFÍA </t>
    </r>
    <r>
      <rPr>
        <sz val="11"/>
        <color theme="0" tint="-0.499984740745262"/>
        <rFont val="Montserrat-Regular"/>
      </rPr>
      <t xml:space="preserve"> URL del contenido para la infografía</t>
    </r>
    <r>
      <rPr>
        <sz val="11"/>
        <color indexed="23"/>
        <rFont val="Montserrat-Regular"/>
      </rPr>
      <t xml:space="preserve">                                                                                        
</t>
    </r>
    <r>
      <rPr>
        <sz val="11"/>
        <color theme="1"/>
        <rFont val="Montserrat-Regular"/>
      </rPr>
      <t>ARTÍCULOS</t>
    </r>
    <r>
      <rPr>
        <sz val="11"/>
        <color indexed="23"/>
        <rFont val="Montserrat-Regular"/>
      </rPr>
      <t xml:space="preserve"> </t>
    </r>
    <r>
      <rPr>
        <b/>
        <sz val="11"/>
        <color rgb="FF808080"/>
        <rFont val="Montserrat-Regular"/>
      </rPr>
      <t>URLs de artículos</t>
    </r>
  </si>
  <si>
    <r>
      <rPr>
        <b/>
        <sz val="12"/>
        <color indexed="8"/>
        <rFont val="Montserrat-Regular"/>
      </rPr>
      <t>EVENTO VERANO
Asunto</t>
    </r>
    <r>
      <rPr>
        <b/>
        <sz val="12"/>
        <color rgb="FF0070C0"/>
        <rFont val="Montserrat-Regular"/>
      </rPr>
      <t>:</t>
    </r>
    <r>
      <rPr>
        <b/>
        <sz val="12"/>
        <color indexed="8"/>
        <rFont val="Montserrat-Regular"/>
      </rPr>
      <t xml:space="preserve"> El Plan perfecto para este Verano</t>
    </r>
    <r>
      <rPr>
        <sz val="12"/>
        <color indexed="23"/>
        <rFont val="Montserrat-Regular"/>
      </rPr>
      <t xml:space="preserve">                                                             
</t>
    </r>
    <r>
      <rPr>
        <sz val="12"/>
        <color indexed="8"/>
        <rFont val="Montserrat-Regular"/>
      </rPr>
      <t xml:space="preserve">INFOGRAFÍA </t>
    </r>
    <r>
      <rPr>
        <sz val="12"/>
        <color theme="0" tint="-0.499984740745262"/>
        <rFont val="Montserrat-Regular"/>
      </rPr>
      <t xml:space="preserve"> URL del contenido para la infografía</t>
    </r>
    <r>
      <rPr>
        <sz val="12"/>
        <color indexed="23"/>
        <rFont val="Montserrat-Regular"/>
      </rPr>
      <t xml:space="preserve">                                                                                        
</t>
    </r>
    <r>
      <rPr>
        <sz val="12"/>
        <color theme="1"/>
        <rFont val="Montserrat-Regular"/>
      </rPr>
      <t>ARTÍCULOS</t>
    </r>
    <r>
      <rPr>
        <sz val="12"/>
        <color indexed="23"/>
        <rFont val="Montserrat-Regular"/>
      </rPr>
      <t xml:space="preserve"> </t>
    </r>
    <r>
      <rPr>
        <b/>
        <sz val="12"/>
        <color rgb="FF808080"/>
        <rFont val="Montserrat-Regular"/>
      </rPr>
      <t>URLs de artículos</t>
    </r>
  </si>
  <si>
    <r>
      <rPr>
        <b/>
        <sz val="11"/>
        <color indexed="8"/>
        <rFont val="Montserrat-Regular"/>
      </rPr>
      <t>CAMPAÑA NAVIDAD
Asunto</t>
    </r>
    <r>
      <rPr>
        <b/>
        <sz val="11"/>
        <color rgb="FF0070C0"/>
        <rFont val="Montserrat-Regular"/>
      </rPr>
      <t>:</t>
    </r>
    <r>
      <rPr>
        <b/>
        <sz val="11"/>
        <color indexed="8"/>
        <rFont val="Montserrat-Regular"/>
      </rPr>
      <t xml:space="preserve"> Regalos con estilo</t>
    </r>
    <r>
      <rPr>
        <sz val="11"/>
        <color indexed="23"/>
        <rFont val="Montserrat-Regular"/>
      </rPr>
      <t xml:space="preserve">                                                             
</t>
    </r>
    <r>
      <rPr>
        <sz val="11"/>
        <color indexed="8"/>
        <rFont val="Montserrat-Regular"/>
      </rPr>
      <t xml:space="preserve">INFOGRAFÍA </t>
    </r>
    <r>
      <rPr>
        <sz val="11"/>
        <color theme="0" tint="-0.499984740745262"/>
        <rFont val="Montserrat-Regular"/>
      </rPr>
      <t xml:space="preserve"> URL del contenido para la infografía</t>
    </r>
    <r>
      <rPr>
        <sz val="11"/>
        <color indexed="23"/>
        <rFont val="Montserrat-Regular"/>
      </rPr>
      <t xml:space="preserve">                                                                                        
</t>
    </r>
    <r>
      <rPr>
        <sz val="11"/>
        <color theme="1"/>
        <rFont val="Montserrat-Regular"/>
      </rPr>
      <t>ARTÍCULOS</t>
    </r>
    <r>
      <rPr>
        <sz val="11"/>
        <color indexed="23"/>
        <rFont val="Montserrat-Regular"/>
      </rPr>
      <t xml:space="preserve"> </t>
    </r>
    <r>
      <rPr>
        <b/>
        <sz val="11"/>
        <color rgb="FF808080"/>
        <rFont val="Montserrat-Regular"/>
      </rPr>
      <t>URLs de artículos</t>
    </r>
  </si>
  <si>
    <r>
      <rPr>
        <b/>
        <sz val="11"/>
        <color indexed="8"/>
        <rFont val="Montserrat-Regular"/>
      </rPr>
      <t>EVENTO NAVIDAD
Asunto</t>
    </r>
    <r>
      <rPr>
        <b/>
        <sz val="11"/>
        <color rgb="FF0070C0"/>
        <rFont val="Montserrat-Regular"/>
      </rPr>
      <t>:</t>
    </r>
    <r>
      <rPr>
        <b/>
        <sz val="11"/>
        <color indexed="8"/>
        <rFont val="Montserrat-Regular"/>
      </rPr>
      <t xml:space="preserve"> ¿Fiesta con los Reyes Magos?</t>
    </r>
    <r>
      <rPr>
        <sz val="11"/>
        <color indexed="23"/>
        <rFont val="Montserrat-Regular"/>
      </rPr>
      <t xml:space="preserve">                                                             
</t>
    </r>
    <r>
      <rPr>
        <sz val="11"/>
        <color indexed="8"/>
        <rFont val="Montserrat-Regular"/>
      </rPr>
      <t xml:space="preserve">INFOGRAFÍA </t>
    </r>
    <r>
      <rPr>
        <sz val="11"/>
        <color theme="0" tint="-0.499984740745262"/>
        <rFont val="Montserrat-Regular"/>
      </rPr>
      <t xml:space="preserve"> URL del contenido para la infografía</t>
    </r>
    <r>
      <rPr>
        <sz val="11"/>
        <color indexed="23"/>
        <rFont val="Montserrat-Regular"/>
      </rPr>
      <t xml:space="preserve">                                                                                        
</t>
    </r>
    <r>
      <rPr>
        <sz val="11"/>
        <color theme="1"/>
        <rFont val="Montserrat-Regular"/>
      </rPr>
      <t>ARTÍCULOS</t>
    </r>
    <r>
      <rPr>
        <sz val="11"/>
        <color indexed="23"/>
        <rFont val="Montserrat-Regular"/>
      </rPr>
      <t xml:space="preserve"> </t>
    </r>
    <r>
      <rPr>
        <b/>
        <sz val="11"/>
        <color rgb="FF808080"/>
        <rFont val="Montserrat-Regular"/>
      </rPr>
      <t>URLs de artículos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</si>
</sst>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79">
    <font>
      <sz val="10"/>
      <name val="Arial"/>
      <family val="2"/>
    </font>
    <font>
      <sz val="11"/>
      <color indexed="8"/>
      <name val="Calibri"/>
      <family val="2"/>
    </font>
    <font>
      <b/>
      <sz val="14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sz val="14"/>
      <name val="Calibri"/>
      <family val="2"/>
    </font>
    <font>
      <sz val="14"/>
      <color indexed="8"/>
      <name val="Calibri"/>
      <family val="2"/>
    </font>
    <font>
      <sz val="8"/>
      <name val="Arial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b/>
      <sz val="15"/>
      <name val="Calibri"/>
      <family val="2"/>
    </font>
    <font>
      <b/>
      <sz val="15"/>
      <color indexed="8"/>
      <name val="Calibri"/>
      <family val="2"/>
    </font>
    <font>
      <b/>
      <sz val="10"/>
      <color indexed="8"/>
      <name val="Trebuchet MS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4"/>
      <color rgb="FFFF0000"/>
      <name val="Calibri"/>
      <family val="2"/>
    </font>
    <font>
      <sz val="11"/>
      <color rgb="FFFF0000"/>
      <name val="Calibri"/>
      <family val="2"/>
    </font>
    <font>
      <b/>
      <sz val="32"/>
      <color theme="6"/>
      <name val="Calibri"/>
      <family val="2"/>
    </font>
    <font>
      <u/>
      <sz val="10"/>
      <color theme="10"/>
      <name val="Arial"/>
      <family val="2"/>
    </font>
    <font>
      <b/>
      <sz val="22"/>
      <color theme="0" tint="-0.24994659260841701"/>
      <name val="Cambria"/>
      <family val="2"/>
      <scheme val="major"/>
    </font>
    <font>
      <b/>
      <sz val="8"/>
      <color rgb="FF808080"/>
      <name val="Trebuchet MS"/>
      <family val="2"/>
    </font>
    <font>
      <b/>
      <sz val="11"/>
      <color rgb="FF000000"/>
      <name val="Trebuchet MS"/>
      <family val="2"/>
    </font>
    <font>
      <b/>
      <sz val="11"/>
      <color rgb="FF808080"/>
      <name val="Trebuchet MS"/>
      <family val="2"/>
    </font>
    <font>
      <b/>
      <sz val="9"/>
      <color rgb="FFBFBFBF"/>
      <name val="Trebuchet MS"/>
      <family val="2"/>
    </font>
    <font>
      <b/>
      <sz val="10"/>
      <color rgb="FFBFBFBF"/>
      <name val="Trebuchet MS"/>
      <family val="2"/>
    </font>
    <font>
      <b/>
      <u/>
      <sz val="10"/>
      <color rgb="FF808080"/>
      <name val="Trebuchet MS"/>
      <family val="2"/>
    </font>
    <font>
      <b/>
      <sz val="22"/>
      <color rgb="FFBFBFBF"/>
      <name val="Trebuchet MS"/>
      <family val="2"/>
    </font>
    <font>
      <b/>
      <u/>
      <sz val="10"/>
      <color rgb="FF000000"/>
      <name val="Trebuchet MS"/>
      <family val="2"/>
    </font>
    <font>
      <b/>
      <sz val="34"/>
      <color rgb="FF626A1A"/>
      <name val="Trebuchet MS"/>
      <family val="2"/>
    </font>
    <font>
      <b/>
      <sz val="34"/>
      <color rgb="FF000000"/>
      <name val="Trebuchet MS"/>
      <family val="2"/>
    </font>
    <font>
      <b/>
      <sz val="11"/>
      <color rgb="FF595959"/>
      <name val="Trebuchet MS"/>
      <family val="2"/>
    </font>
    <font>
      <b/>
      <sz val="20"/>
      <color theme="1" tint="0.249977111117893"/>
      <name val="Calibri"/>
      <family val="2"/>
      <scheme val="minor"/>
    </font>
    <font>
      <b/>
      <sz val="10"/>
      <color rgb="FF808080"/>
      <name val="Trebuchet MS"/>
      <family val="2"/>
    </font>
    <font>
      <b/>
      <sz val="34"/>
      <color rgb="FF626A1A"/>
      <name val="Trebuchet MS (Títulos)"/>
    </font>
    <font>
      <b/>
      <sz val="9"/>
      <color rgb="FF000000"/>
      <name val="Trebuchet MS"/>
      <family val="2"/>
    </font>
    <font>
      <b/>
      <sz val="8"/>
      <color rgb="FF000000"/>
      <name val="Trebuchet MS (Cuerpo)"/>
    </font>
    <font>
      <b/>
      <sz val="8"/>
      <color rgb="FF808080"/>
      <name val="Trebuchet MS (Cuerpo)"/>
    </font>
    <font>
      <b/>
      <sz val="11"/>
      <color theme="1" tint="0.499984740745262"/>
      <name val="Trebuchet MS"/>
      <family val="2"/>
    </font>
    <font>
      <b/>
      <sz val="8"/>
      <color theme="1" tint="0.499984740745262"/>
      <name val="Trebuchet MS"/>
      <family val="2"/>
    </font>
    <font>
      <b/>
      <sz val="11"/>
      <color theme="0" tint="-0.499984740745262"/>
      <name val="Trebuchet MS"/>
      <family val="2"/>
    </font>
    <font>
      <b/>
      <sz val="8"/>
      <color theme="0" tint="-0.499984740745262"/>
      <name val="Trebuchet MS"/>
      <family val="2"/>
    </font>
    <font>
      <b/>
      <sz val="8"/>
      <color theme="0" tint="-0.499984740745262"/>
      <name val="Trebuchet MS (Cuerpo)"/>
    </font>
    <font>
      <b/>
      <sz val="9"/>
      <color theme="1"/>
      <name val="Trebuchet MS"/>
      <family val="2"/>
    </font>
    <font>
      <b/>
      <sz val="34"/>
      <color theme="0" tint="-0.34998626667073579"/>
      <name val="Trebuchet MS"/>
      <family val="2"/>
    </font>
    <font>
      <b/>
      <sz val="34"/>
      <color theme="0" tint="-0.499984740745262"/>
      <name val="Trebuchet MS"/>
      <family val="2"/>
    </font>
    <font>
      <b/>
      <sz val="34"/>
      <color theme="0" tint="-0.34998626667073579"/>
      <name val="Trebuchet MS (Títulos)"/>
    </font>
    <font>
      <b/>
      <sz val="34"/>
      <color theme="1" tint="0.499984740745262"/>
      <name val="Trebuchet MS"/>
      <family val="2"/>
    </font>
    <font>
      <b/>
      <sz val="10"/>
      <color theme="1"/>
      <name val="Trebuchet MS"/>
      <family val="2"/>
    </font>
    <font>
      <b/>
      <sz val="15"/>
      <color theme="1"/>
      <name val="Calibri"/>
      <family val="2"/>
    </font>
    <font>
      <b/>
      <sz val="10"/>
      <color rgb="FF000000"/>
      <name val="Trebuchet MS"/>
      <family val="2"/>
    </font>
    <font>
      <b/>
      <sz val="8"/>
      <color rgb="FF808080"/>
      <name val="Montserrat-Regular"/>
    </font>
    <font>
      <b/>
      <sz val="12"/>
      <color theme="0"/>
      <name val="Montserrat-Regular"/>
    </font>
    <font>
      <sz val="28"/>
      <color theme="1" tint="0.249977111117893"/>
      <name val="Montserrat-Regular"/>
    </font>
    <font>
      <b/>
      <sz val="15"/>
      <color theme="1" tint="4.9989318521683403E-2"/>
      <name val="Calibri"/>
      <family val="2"/>
    </font>
    <font>
      <b/>
      <sz val="11"/>
      <color rgb="FF808080"/>
      <name val="Montserrat-Regular"/>
    </font>
    <font>
      <b/>
      <sz val="11"/>
      <color indexed="8"/>
      <name val="Montserrat-Regular"/>
    </font>
    <font>
      <b/>
      <sz val="11"/>
      <color rgb="FF0070C0"/>
      <name val="Montserrat-Regular"/>
    </font>
    <font>
      <sz val="11"/>
      <color indexed="23"/>
      <name val="Montserrat-Regular"/>
    </font>
    <font>
      <sz val="11"/>
      <color indexed="8"/>
      <name val="Montserrat-Regular"/>
    </font>
    <font>
      <sz val="11"/>
      <color theme="0" tint="-0.499984740745262"/>
      <name val="Montserrat-Regular"/>
    </font>
    <font>
      <sz val="11"/>
      <color theme="1"/>
      <name val="Montserrat-Regular"/>
    </font>
    <font>
      <b/>
      <sz val="12"/>
      <color rgb="FF808080"/>
      <name val="Montserrat-Regular"/>
    </font>
    <font>
      <b/>
      <sz val="12"/>
      <color indexed="8"/>
      <name val="Montserrat-Regular"/>
    </font>
    <font>
      <b/>
      <sz val="12"/>
      <color rgb="FF0070C0"/>
      <name val="Montserrat-Regular"/>
    </font>
    <font>
      <sz val="12"/>
      <color indexed="23"/>
      <name val="Montserrat-Regular"/>
    </font>
    <font>
      <sz val="12"/>
      <color indexed="8"/>
      <name val="Montserrat-Regular"/>
    </font>
    <font>
      <sz val="12"/>
      <color theme="0" tint="-0.499984740745262"/>
      <name val="Montserrat-Regular"/>
    </font>
    <font>
      <sz val="12"/>
      <color theme="1"/>
      <name val="Montserrat-Regular"/>
    </font>
    <font>
      <b/>
      <sz val="16"/>
      <color rgb="FF808080"/>
      <name val="Montserrat-Regular"/>
    </font>
    <font>
      <b/>
      <sz val="16"/>
      <color indexed="8"/>
      <name val="Montserrat-Regular"/>
    </font>
    <font>
      <b/>
      <sz val="16"/>
      <color rgb="FF0070C0"/>
      <name val="Montserrat-Regular"/>
    </font>
    <font>
      <sz val="16"/>
      <color indexed="23"/>
      <name val="Montserrat-Regular"/>
    </font>
    <font>
      <sz val="16"/>
      <color indexed="8"/>
      <name val="Montserrat-Regular"/>
    </font>
    <font>
      <sz val="16"/>
      <color theme="0" tint="-0.499984740745262"/>
      <name val="Montserrat-Regular"/>
    </font>
    <font>
      <sz val="16"/>
      <color theme="1"/>
      <name val="Montserrat-Regular"/>
    </font>
    <font>
      <b/>
      <sz val="9"/>
      <color rgb="FF808080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3490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EEF7EA"/>
        <bgColor rgb="FF000000"/>
      </patternFill>
    </fill>
    <fill>
      <patternFill patternType="solid">
        <fgColor rgb="FFEEF7EA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rgb="FF549E39"/>
      </left>
      <right style="thick">
        <color rgb="FF549E39"/>
      </right>
      <top/>
      <bottom/>
      <diagonal/>
    </border>
    <border>
      <left style="thick">
        <color rgb="FF549E39"/>
      </left>
      <right/>
      <top/>
      <bottom/>
      <diagonal/>
    </border>
    <border>
      <left/>
      <right style="thick">
        <color rgb="FF549E39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349062"/>
      </left>
      <right style="thin">
        <color rgb="FF3490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3490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3490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349062"/>
      </left>
      <right/>
      <top style="thin">
        <color rgb="FF349062"/>
      </top>
      <bottom/>
      <diagonal/>
    </border>
    <border>
      <left/>
      <right/>
      <top style="thin">
        <color rgb="FF349062"/>
      </top>
      <bottom/>
      <diagonal/>
    </border>
    <border>
      <left/>
      <right style="thin">
        <color rgb="FF349062"/>
      </right>
      <top style="thin">
        <color rgb="FF349062"/>
      </top>
      <bottom/>
      <diagonal/>
    </border>
    <border>
      <left style="thin">
        <color rgb="FF349062"/>
      </left>
      <right/>
      <top/>
      <bottom/>
      <diagonal/>
    </border>
    <border>
      <left/>
      <right style="thin">
        <color rgb="FF349062"/>
      </right>
      <top/>
      <bottom/>
      <diagonal/>
    </border>
    <border>
      <left style="thin">
        <color rgb="FF349062"/>
      </left>
      <right style="thick">
        <color rgb="FF549E39"/>
      </right>
      <top/>
      <bottom/>
      <diagonal/>
    </border>
    <border>
      <left style="thick">
        <color rgb="FF549E39"/>
      </left>
      <right style="thin">
        <color rgb="FF349062"/>
      </right>
      <top/>
      <bottom/>
      <diagonal/>
    </border>
    <border>
      <left style="thin">
        <color rgb="FF349062"/>
      </left>
      <right/>
      <top/>
      <bottom style="thin">
        <color rgb="FF349062"/>
      </bottom>
      <diagonal/>
    </border>
    <border>
      <left style="thick">
        <color rgb="FF549E39"/>
      </left>
      <right/>
      <top/>
      <bottom style="thin">
        <color rgb="FF349062"/>
      </bottom>
      <diagonal/>
    </border>
    <border>
      <left style="thick">
        <color rgb="FF549E39"/>
      </left>
      <right style="thin">
        <color rgb="FF349062"/>
      </right>
      <top/>
      <bottom style="thin">
        <color rgb="FF349062"/>
      </bottom>
      <diagonal/>
    </border>
  </borders>
  <cellStyleXfs count="9">
    <xf numFmtId="0" fontId="0" fillId="0" borderId="0"/>
    <xf numFmtId="0" fontId="22" fillId="0" borderId="0" applyNumberFormat="0" applyFill="0" applyBorder="0" applyAlignment="0" applyProtection="0">
      <alignment horizontal="left"/>
    </xf>
    <xf numFmtId="0" fontId="14" fillId="0" borderId="2" applyNumberFormat="0" applyFill="0" applyAlignment="0" applyProtection="0"/>
    <xf numFmtId="0" fontId="16" fillId="0" borderId="0" applyNumberFormat="0" applyFill="0" applyBorder="0" applyAlignment="0" applyProtection="0"/>
    <xf numFmtId="0" fontId="1" fillId="0" borderId="0"/>
    <xf numFmtId="0" fontId="2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</cellStyleXfs>
  <cellXfs count="137">
    <xf numFmtId="0" fontId="0" fillId="0" borderId="0" xfId="0"/>
    <xf numFmtId="0" fontId="0" fillId="2" borderId="0" xfId="0" applyFill="1"/>
    <xf numFmtId="0" fontId="1" fillId="2" borderId="0" xfId="4" applyFill="1" applyBorder="1"/>
    <xf numFmtId="0" fontId="4" fillId="2" borderId="0" xfId="4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18" fillId="2" borderId="0" xfId="4" applyFont="1" applyFill="1" applyBorder="1"/>
    <xf numFmtId="0" fontId="1" fillId="2" borderId="0" xfId="4" applyFont="1" applyFill="1" applyBorder="1"/>
    <xf numFmtId="0" fontId="1" fillId="2" borderId="0" xfId="4" applyFont="1" applyFill="1" applyBorder="1" applyAlignment="1">
      <alignment horizontal="center" vertical="center"/>
    </xf>
    <xf numFmtId="0" fontId="19" fillId="2" borderId="0" xfId="4" applyFont="1" applyFill="1" applyBorder="1"/>
    <xf numFmtId="0" fontId="5" fillId="2" borderId="0" xfId="4" applyFont="1" applyFill="1" applyBorder="1"/>
    <xf numFmtId="0" fontId="0" fillId="2" borderId="0" xfId="0" applyFill="1" applyBorder="1"/>
    <xf numFmtId="0" fontId="20" fillId="2" borderId="0" xfId="4" applyFont="1" applyFill="1" applyBorder="1" applyAlignment="1">
      <alignment vertical="center"/>
    </xf>
    <xf numFmtId="0" fontId="9" fillId="2" borderId="0" xfId="4" applyFont="1" applyFill="1" applyBorder="1" applyAlignment="1">
      <alignment horizontal="center" vertical="center"/>
    </xf>
    <xf numFmtId="0" fontId="1" fillId="3" borderId="0" xfId="4" applyFill="1" applyBorder="1"/>
    <xf numFmtId="0" fontId="23" fillId="0" borderId="0" xfId="0" applyFont="1" applyAlignment="1">
      <alignment horizontal="left" vertical="top" wrapText="1" indent="1"/>
    </xf>
    <xf numFmtId="164" fontId="24" fillId="0" borderId="5" xfId="8" applyNumberFormat="1" applyFont="1" applyFill="1" applyBorder="1" applyAlignment="1">
      <alignment horizontal="left" indent="1"/>
    </xf>
    <xf numFmtId="164" fontId="25" fillId="0" borderId="5" xfId="8" applyNumberFormat="1" applyFont="1" applyFill="1" applyBorder="1" applyAlignment="1">
      <alignment horizontal="left" indent="1"/>
    </xf>
    <xf numFmtId="0" fontId="23" fillId="0" borderId="5" xfId="0" applyFont="1" applyBorder="1" applyAlignment="1">
      <alignment horizontal="left" vertical="top" wrapText="1" indent="1"/>
    </xf>
    <xf numFmtId="0" fontId="23" fillId="0" borderId="6" xfId="0" applyFont="1" applyBorder="1" applyAlignment="1">
      <alignment horizontal="left" vertical="top" wrapText="1" indent="1"/>
    </xf>
    <xf numFmtId="0" fontId="26" fillId="2" borderId="0" xfId="3" applyFont="1" applyFill="1" applyBorder="1" applyAlignment="1">
      <alignment horizontal="left" vertical="top"/>
    </xf>
    <xf numFmtId="0" fontId="27" fillId="2" borderId="0" xfId="7" applyFont="1" applyFill="1" applyBorder="1" applyAlignment="1">
      <alignment horizontal="left" vertical="top"/>
    </xf>
    <xf numFmtId="0" fontId="23" fillId="2" borderId="0" xfId="0" applyFont="1" applyFill="1" applyAlignment="1">
      <alignment horizontal="left" vertical="top" wrapText="1" indent="1"/>
    </xf>
    <xf numFmtId="0" fontId="28" fillId="2" borderId="0" xfId="5" applyFont="1" applyFill="1" applyBorder="1" applyAlignment="1">
      <alignment horizontal="center" vertical="top"/>
    </xf>
    <xf numFmtId="0" fontId="28" fillId="2" borderId="1" xfId="5" applyFont="1" applyFill="1" applyBorder="1" applyAlignment="1">
      <alignment horizontal="center" vertical="top"/>
    </xf>
    <xf numFmtId="0" fontId="30" fillId="2" borderId="0" xfId="5" applyFont="1" applyFill="1" applyBorder="1" applyAlignment="1">
      <alignment horizontal="center" vertical="top"/>
    </xf>
    <xf numFmtId="0" fontId="32" fillId="2" borderId="0" xfId="6" applyFont="1" applyFill="1" applyBorder="1" applyAlignment="1">
      <alignment horizontal="center" vertical="top"/>
    </xf>
    <xf numFmtId="0" fontId="23" fillId="2" borderId="0" xfId="0" applyFont="1" applyFill="1" applyAlignment="1">
      <alignment horizontal="center" vertical="center" wrapText="1"/>
    </xf>
    <xf numFmtId="164" fontId="24" fillId="2" borderId="0" xfId="8" applyNumberFormat="1" applyFont="1" applyFill="1" applyBorder="1" applyAlignment="1">
      <alignment horizontal="left" vertical="top"/>
    </xf>
    <xf numFmtId="0" fontId="23" fillId="2" borderId="0" xfId="0" applyFont="1" applyFill="1" applyBorder="1" applyAlignment="1">
      <alignment horizontal="center" vertical="center" wrapText="1"/>
    </xf>
    <xf numFmtId="0" fontId="24" fillId="2" borderId="0" xfId="2" applyFont="1" applyFill="1" applyBorder="1" applyAlignment="1">
      <alignment horizontal="center" vertical="center"/>
    </xf>
    <xf numFmtId="0" fontId="33" fillId="2" borderId="0" xfId="2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4" applyFill="1" applyBorder="1" applyAlignment="1">
      <alignment horizontal="center"/>
    </xf>
    <xf numFmtId="0" fontId="1" fillId="5" borderId="0" xfId="4" applyFill="1" applyBorder="1"/>
    <xf numFmtId="0" fontId="1" fillId="6" borderId="0" xfId="4" applyFill="1" applyBorder="1"/>
    <xf numFmtId="0" fontId="10" fillId="6" borderId="0" xfId="4" applyFont="1" applyFill="1" applyBorder="1"/>
    <xf numFmtId="0" fontId="3" fillId="2" borderId="0" xfId="4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8" fillId="2" borderId="0" xfId="4" applyFont="1" applyFill="1" applyBorder="1" applyAlignment="1">
      <alignment horizontal="center"/>
    </xf>
    <xf numFmtId="0" fontId="1" fillId="2" borderId="0" xfId="4" applyFont="1" applyFill="1" applyBorder="1" applyAlignment="1">
      <alignment horizontal="center"/>
    </xf>
    <xf numFmtId="0" fontId="19" fillId="2" borderId="0" xfId="4" applyFont="1" applyFill="1" applyBorder="1" applyAlignment="1">
      <alignment horizontal="center"/>
    </xf>
    <xf numFmtId="0" fontId="5" fillId="2" borderId="0" xfId="4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5" fillId="2" borderId="0" xfId="0" applyFont="1" applyFill="1" applyAlignment="1">
      <alignment horizontal="left" vertical="top" wrapText="1" indent="1"/>
    </xf>
    <xf numFmtId="0" fontId="38" fillId="0" borderId="5" xfId="0" applyFont="1" applyFill="1" applyBorder="1" applyAlignment="1">
      <alignment horizontal="left" vertical="center" wrapText="1" indent="1"/>
    </xf>
    <xf numFmtId="164" fontId="24" fillId="0" borderId="5" xfId="8" applyNumberFormat="1" applyFont="1" applyFill="1" applyBorder="1" applyAlignment="1">
      <alignment horizontal="left" vertical="center" indent="1"/>
    </xf>
    <xf numFmtId="0" fontId="25" fillId="2" borderId="0" xfId="2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horizontal="left" vertical="center" wrapText="1" indent="1"/>
    </xf>
    <xf numFmtId="0" fontId="0" fillId="0" borderId="0" xfId="0" applyFill="1"/>
    <xf numFmtId="0" fontId="40" fillId="2" borderId="0" xfId="2" applyFont="1" applyFill="1" applyBorder="1" applyAlignment="1">
      <alignment horizontal="center" vertical="center"/>
    </xf>
    <xf numFmtId="164" fontId="40" fillId="0" borderId="5" xfId="8" applyNumberFormat="1" applyFont="1" applyFill="1" applyBorder="1" applyAlignment="1">
      <alignment horizontal="left" indent="1"/>
    </xf>
    <xf numFmtId="0" fontId="41" fillId="0" borderId="5" xfId="0" applyFont="1" applyBorder="1" applyAlignment="1">
      <alignment horizontal="left" vertical="top" wrapText="1" indent="1"/>
    </xf>
    <xf numFmtId="0" fontId="41" fillId="0" borderId="0" xfId="0" applyFont="1" applyBorder="1" applyAlignment="1">
      <alignment horizontal="left" vertical="top" wrapText="1" indent="1"/>
    </xf>
    <xf numFmtId="0" fontId="42" fillId="2" borderId="0" xfId="2" applyFont="1" applyFill="1" applyBorder="1" applyAlignment="1">
      <alignment horizontal="center" vertical="center"/>
    </xf>
    <xf numFmtId="164" fontId="42" fillId="0" borderId="5" xfId="8" applyNumberFormat="1" applyFont="1" applyFill="1" applyBorder="1" applyAlignment="1">
      <alignment horizontal="left" indent="1"/>
    </xf>
    <xf numFmtId="0" fontId="43" fillId="0" borderId="5" xfId="0" applyFont="1" applyBorder="1" applyAlignment="1">
      <alignment horizontal="left" vertical="top" wrapText="1" indent="1"/>
    </xf>
    <xf numFmtId="164" fontId="42" fillId="0" borderId="5" xfId="8" applyNumberFormat="1" applyFont="1" applyFill="1" applyBorder="1" applyAlignment="1">
      <alignment horizontal="left" vertical="center" indent="1"/>
    </xf>
    <xf numFmtId="0" fontId="43" fillId="0" borderId="0" xfId="0" applyFont="1" applyBorder="1" applyAlignment="1">
      <alignment horizontal="left" vertical="top" wrapText="1" indent="1"/>
    </xf>
    <xf numFmtId="0" fontId="6" fillId="5" borderId="8" xfId="0" applyFont="1" applyFill="1" applyBorder="1" applyAlignment="1">
      <alignment horizontal="center" vertical="center"/>
    </xf>
    <xf numFmtId="0" fontId="12" fillId="3" borderId="9" xfId="4" applyFont="1" applyFill="1" applyBorder="1" applyAlignment="1">
      <alignment vertical="center" wrapText="1"/>
    </xf>
    <xf numFmtId="0" fontId="47" fillId="2" borderId="13" xfId="6" applyFont="1" applyFill="1" applyBorder="1" applyAlignment="1">
      <alignment horizontal="center" vertical="top"/>
    </xf>
    <xf numFmtId="0" fontId="43" fillId="2" borderId="13" xfId="0" applyFont="1" applyFill="1" applyBorder="1" applyAlignment="1">
      <alignment horizontal="left" vertical="top" wrapText="1" indent="1"/>
    </xf>
    <xf numFmtId="0" fontId="43" fillId="2" borderId="14" xfId="0" applyFont="1" applyFill="1" applyBorder="1" applyAlignment="1">
      <alignment horizontal="left" vertical="top" wrapText="1" indent="1"/>
    </xf>
    <xf numFmtId="0" fontId="42" fillId="2" borderId="15" xfId="2" applyFont="1" applyFill="1" applyBorder="1" applyAlignment="1">
      <alignment horizontal="center" vertical="center"/>
    </xf>
    <xf numFmtId="0" fontId="42" fillId="2" borderId="16" xfId="2" applyFont="1" applyFill="1" applyBorder="1" applyAlignment="1">
      <alignment horizontal="center" vertical="center"/>
    </xf>
    <xf numFmtId="164" fontId="42" fillId="0" borderId="17" xfId="8" applyNumberFormat="1" applyFont="1" applyFill="1" applyBorder="1" applyAlignment="1">
      <alignment horizontal="left" indent="1"/>
    </xf>
    <xf numFmtId="164" fontId="42" fillId="0" borderId="18" xfId="8" applyNumberFormat="1" applyFont="1" applyFill="1" applyBorder="1" applyAlignment="1">
      <alignment horizontal="left" indent="1"/>
    </xf>
    <xf numFmtId="0" fontId="43" fillId="0" borderId="17" xfId="0" applyFont="1" applyBorder="1" applyAlignment="1">
      <alignment horizontal="left" vertical="top" wrapText="1" indent="1"/>
    </xf>
    <xf numFmtId="0" fontId="43" fillId="0" borderId="18" xfId="0" applyFont="1" applyBorder="1" applyAlignment="1">
      <alignment horizontal="left" vertical="top" wrapText="1" indent="1"/>
    </xf>
    <xf numFmtId="164" fontId="42" fillId="0" borderId="17" xfId="8" applyNumberFormat="1" applyFont="1" applyFill="1" applyBorder="1" applyAlignment="1">
      <alignment horizontal="left" vertical="center" indent="1"/>
    </xf>
    <xf numFmtId="0" fontId="44" fillId="0" borderId="17" xfId="0" applyFont="1" applyFill="1" applyBorder="1" applyAlignment="1">
      <alignment horizontal="left" vertical="top" wrapText="1" indent="1"/>
    </xf>
    <xf numFmtId="0" fontId="43" fillId="0" borderId="19" xfId="0" applyFont="1" applyBorder="1" applyAlignment="1">
      <alignment horizontal="left" vertical="top" wrapText="1" indent="1"/>
    </xf>
    <xf numFmtId="0" fontId="43" fillId="0" borderId="20" xfId="0" applyFont="1" applyBorder="1" applyAlignment="1">
      <alignment horizontal="left" vertical="top" wrapText="1" indent="1"/>
    </xf>
    <xf numFmtId="0" fontId="43" fillId="0" borderId="21" xfId="0" applyFont="1" applyBorder="1" applyAlignment="1">
      <alignment horizontal="left" vertical="top" wrapText="1" indent="1"/>
    </xf>
    <xf numFmtId="0" fontId="44" fillId="0" borderId="17" xfId="0" applyFont="1" applyFill="1" applyBorder="1" applyAlignment="1">
      <alignment horizontal="left" vertical="center" wrapText="1" indent="1"/>
    </xf>
    <xf numFmtId="0" fontId="49" fillId="2" borderId="13" xfId="6" applyFont="1" applyFill="1" applyBorder="1" applyAlignment="1">
      <alignment horizontal="center" vertical="top"/>
    </xf>
    <xf numFmtId="0" fontId="41" fillId="2" borderId="13" xfId="0" applyFont="1" applyFill="1" applyBorder="1" applyAlignment="1">
      <alignment horizontal="left" vertical="top" wrapText="1" indent="1"/>
    </xf>
    <xf numFmtId="0" fontId="41" fillId="2" borderId="14" xfId="0" applyFont="1" applyFill="1" applyBorder="1" applyAlignment="1">
      <alignment horizontal="left" vertical="top" wrapText="1" indent="1"/>
    </xf>
    <xf numFmtId="0" fontId="40" fillId="2" borderId="15" xfId="2" applyFont="1" applyFill="1" applyBorder="1" applyAlignment="1">
      <alignment horizontal="center" vertical="center"/>
    </xf>
    <xf numFmtId="0" fontId="40" fillId="2" borderId="16" xfId="2" applyFont="1" applyFill="1" applyBorder="1" applyAlignment="1">
      <alignment horizontal="center" vertical="center"/>
    </xf>
    <xf numFmtId="164" fontId="40" fillId="0" borderId="17" xfId="8" applyNumberFormat="1" applyFont="1" applyFill="1" applyBorder="1" applyAlignment="1">
      <alignment horizontal="left" indent="1"/>
    </xf>
    <xf numFmtId="164" fontId="40" fillId="0" borderId="18" xfId="8" applyNumberFormat="1" applyFont="1" applyFill="1" applyBorder="1" applyAlignment="1">
      <alignment horizontal="left" indent="1"/>
    </xf>
    <xf numFmtId="0" fontId="41" fillId="0" borderId="17" xfId="0" applyFont="1" applyBorder="1" applyAlignment="1">
      <alignment horizontal="left" vertical="top" wrapText="1" indent="1"/>
    </xf>
    <xf numFmtId="0" fontId="41" fillId="0" borderId="18" xfId="0" applyFont="1" applyBorder="1" applyAlignment="1">
      <alignment horizontal="left" vertical="top" wrapText="1" indent="1"/>
    </xf>
    <xf numFmtId="0" fontId="41" fillId="0" borderId="19" xfId="0" applyFont="1" applyBorder="1" applyAlignment="1">
      <alignment horizontal="left" vertical="top" wrapText="1" indent="1"/>
    </xf>
    <xf numFmtId="0" fontId="41" fillId="0" borderId="20" xfId="0" applyFont="1" applyBorder="1" applyAlignment="1">
      <alignment horizontal="left" vertical="top" wrapText="1" indent="1"/>
    </xf>
    <xf numFmtId="0" fontId="41" fillId="0" borderId="21" xfId="0" applyFont="1" applyBorder="1" applyAlignment="1">
      <alignment horizontal="left" vertical="top" wrapText="1" indent="1"/>
    </xf>
    <xf numFmtId="0" fontId="23" fillId="0" borderId="0" xfId="0" applyFont="1" applyFill="1" applyAlignment="1">
      <alignment horizontal="left" vertical="top" wrapText="1" indent="1"/>
    </xf>
    <xf numFmtId="0" fontId="27" fillId="0" borderId="0" xfId="7" applyFont="1" applyFill="1" applyBorder="1" applyAlignment="1">
      <alignment horizontal="left" vertical="top"/>
    </xf>
    <xf numFmtId="0" fontId="23" fillId="0" borderId="0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vertical="center" wrapText="1"/>
    </xf>
    <xf numFmtId="0" fontId="37" fillId="0" borderId="7" xfId="0" applyFont="1" applyFill="1" applyBorder="1" applyAlignment="1">
      <alignment vertical="center" wrapText="1"/>
    </xf>
    <xf numFmtId="0" fontId="7" fillId="3" borderId="10" xfId="4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7" fillId="3" borderId="8" xfId="4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7" fillId="3" borderId="11" xfId="4" applyFont="1" applyFill="1" applyBorder="1" applyAlignment="1">
      <alignment horizontal="center" vertical="center" wrapText="1"/>
    </xf>
    <xf numFmtId="0" fontId="7" fillId="2" borderId="0" xfId="4" applyFont="1" applyFill="1" applyBorder="1"/>
    <xf numFmtId="0" fontId="7" fillId="5" borderId="8" xfId="4" applyFont="1" applyFill="1" applyBorder="1" applyAlignment="1">
      <alignment horizontal="center" vertical="center" wrapText="1"/>
    </xf>
    <xf numFmtId="0" fontId="53" fillId="8" borderId="6" xfId="0" applyFont="1" applyFill="1" applyBorder="1" applyAlignment="1">
      <alignment vertical="center" wrapText="1"/>
    </xf>
    <xf numFmtId="0" fontId="54" fillId="4" borderId="0" xfId="4" applyFont="1" applyFill="1" applyBorder="1" applyAlignment="1">
      <alignment horizontal="center" vertical="center"/>
    </xf>
    <xf numFmtId="0" fontId="55" fillId="2" borderId="0" xfId="4" applyFont="1" applyFill="1" applyBorder="1" applyAlignment="1">
      <alignment horizontal="right" vertical="center"/>
    </xf>
    <xf numFmtId="0" fontId="52" fillId="7" borderId="15" xfId="0" applyFont="1" applyFill="1" applyBorder="1" applyAlignment="1">
      <alignment horizontal="center" vertical="center" wrapText="1"/>
    </xf>
    <xf numFmtId="0" fontId="45" fillId="7" borderId="0" xfId="0" applyFont="1" applyFill="1" applyBorder="1" applyAlignment="1">
      <alignment horizontal="center" vertical="center" wrapText="1"/>
    </xf>
    <xf numFmtId="0" fontId="45" fillId="7" borderId="16" xfId="0" applyFont="1" applyFill="1" applyBorder="1" applyAlignment="1">
      <alignment horizontal="center" vertical="center" wrapText="1"/>
    </xf>
    <xf numFmtId="164" fontId="46" fillId="2" borderId="12" xfId="6" applyNumberFormat="1" applyFont="1" applyFill="1" applyBorder="1" applyAlignment="1">
      <alignment horizontal="left" vertical="top"/>
    </xf>
    <xf numFmtId="164" fontId="47" fillId="2" borderId="13" xfId="6" applyNumberFormat="1" applyFont="1" applyFill="1" applyBorder="1" applyAlignment="1">
      <alignment horizontal="left" vertical="top"/>
    </xf>
    <xf numFmtId="164" fontId="46" fillId="2" borderId="13" xfId="6" applyNumberFormat="1" applyFont="1" applyFill="1" applyBorder="1" applyAlignment="1">
      <alignment horizontal="left" vertical="top"/>
    </xf>
    <xf numFmtId="0" fontId="50" fillId="7" borderId="15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left"/>
    </xf>
    <xf numFmtId="164" fontId="48" fillId="2" borderId="12" xfId="6" applyNumberFormat="1" applyFont="1" applyFill="1" applyBorder="1" applyAlignment="1">
      <alignment horizontal="left" vertical="top"/>
    </xf>
    <xf numFmtId="0" fontId="13" fillId="7" borderId="15" xfId="0" applyFont="1" applyFill="1" applyBorder="1" applyAlignment="1">
      <alignment horizontal="center" vertical="center" wrapText="1"/>
    </xf>
    <xf numFmtId="0" fontId="50" fillId="7" borderId="15" xfId="0" applyFont="1" applyFill="1" applyBorder="1" applyAlignment="1">
      <alignment horizontal="left" vertical="center" wrapText="1"/>
    </xf>
    <xf numFmtId="0" fontId="45" fillId="7" borderId="0" xfId="0" applyFont="1" applyFill="1" applyBorder="1" applyAlignment="1">
      <alignment horizontal="left" vertical="center" wrapText="1"/>
    </xf>
    <xf numFmtId="0" fontId="45" fillId="7" borderId="16" xfId="0" applyFont="1" applyFill="1" applyBorder="1" applyAlignment="1">
      <alignment horizontal="left" vertical="center" wrapText="1"/>
    </xf>
    <xf numFmtId="0" fontId="29" fillId="2" borderId="0" xfId="1" applyFont="1" applyFill="1" applyBorder="1" applyAlignment="1">
      <alignment horizontal="left"/>
    </xf>
    <xf numFmtId="164" fontId="31" fillId="2" borderId="0" xfId="6" applyNumberFormat="1" applyFont="1" applyFill="1" applyBorder="1" applyAlignment="1">
      <alignment horizontal="left" vertical="top"/>
    </xf>
    <xf numFmtId="164" fontId="36" fillId="2" borderId="0" xfId="6" applyNumberFormat="1" applyFont="1" applyFill="1" applyBorder="1" applyAlignment="1">
      <alignment horizontal="left" vertical="top"/>
    </xf>
    <xf numFmtId="164" fontId="32" fillId="2" borderId="0" xfId="6" applyNumberFormat="1" applyFont="1" applyFill="1" applyBorder="1" applyAlignment="1">
      <alignment horizontal="left" vertical="top"/>
    </xf>
    <xf numFmtId="0" fontId="7" fillId="5" borderId="10" xfId="4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7" fillId="5" borderId="11" xfId="4" applyFont="1" applyFill="1" applyBorder="1" applyAlignment="1">
      <alignment horizontal="center" vertical="center" wrapText="1"/>
    </xf>
    <xf numFmtId="0" fontId="51" fillId="5" borderId="10" xfId="0" applyFont="1" applyFill="1" applyBorder="1" applyAlignment="1">
      <alignment vertical="center"/>
    </xf>
    <xf numFmtId="0" fontId="6" fillId="5" borderId="10" xfId="4" applyFont="1" applyFill="1" applyBorder="1" applyAlignment="1">
      <alignment horizontal="center" vertical="center" wrapText="1"/>
    </xf>
    <xf numFmtId="0" fontId="6" fillId="5" borderId="8" xfId="4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7" fillId="9" borderId="8" xfId="4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vertical="center"/>
    </xf>
    <xf numFmtId="0" fontId="56" fillId="9" borderId="9" xfId="4" applyFont="1" applyFill="1" applyBorder="1" applyAlignment="1">
      <alignment vertical="center" wrapText="1"/>
    </xf>
    <xf numFmtId="0" fontId="56" fillId="5" borderId="9" xfId="0" applyFont="1" applyFill="1" applyBorder="1" applyAlignment="1">
      <alignment vertical="center"/>
    </xf>
    <xf numFmtId="0" fontId="56" fillId="3" borderId="9" xfId="0" applyFont="1" applyFill="1" applyBorder="1" applyAlignment="1">
      <alignment vertical="center"/>
    </xf>
    <xf numFmtId="0" fontId="6" fillId="9" borderId="11" xfId="0" applyFont="1" applyFill="1" applyBorder="1" applyAlignment="1">
      <alignment horizontal="center" vertical="center" wrapText="1"/>
    </xf>
    <xf numFmtId="0" fontId="57" fillId="8" borderId="6" xfId="0" applyFont="1" applyFill="1" applyBorder="1" applyAlignment="1">
      <alignment vertical="center" wrapText="1"/>
    </xf>
    <xf numFmtId="0" fontId="64" fillId="8" borderId="6" xfId="0" applyFont="1" applyFill="1" applyBorder="1" applyAlignment="1">
      <alignment vertical="center" wrapText="1"/>
    </xf>
    <xf numFmtId="0" fontId="71" fillId="8" borderId="6" xfId="0" applyFont="1" applyFill="1" applyBorder="1" applyAlignment="1">
      <alignment vertical="center" wrapText="1"/>
    </xf>
    <xf numFmtId="0" fontId="78" fillId="0" borderId="5" xfId="0" applyFont="1" applyBorder="1" applyAlignment="1">
      <alignment horizontal="left" vertical="top" wrapText="1" indent="1"/>
    </xf>
  </cellXfs>
  <cellStyles count="9">
    <cellStyle name="Año" xfId="1" xr:uid="{00000000-0005-0000-0000-000000000000}"/>
    <cellStyle name="Encabezado 1" xfId="2" builtinId="16"/>
    <cellStyle name="Encabezado 4" xfId="3" builtinId="19"/>
    <cellStyle name="Excel Built-in Normal" xfId="4" xr:uid="{00000000-0005-0000-0000-000002000000}"/>
    <cellStyle name="Hipervínculo" xfId="5" builtinId="8"/>
    <cellStyle name="Normal" xfId="0" builtinId="0"/>
    <cellStyle name="Título" xfId="6" builtinId="15"/>
    <cellStyle name="Título 2" xfId="7" builtinId="17"/>
    <cellStyle name="Título 3" xfId="8" builtinId="18"/>
  </cellStyles>
  <dxfs count="33"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FF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402167</xdr:colOff>
      <xdr:row>0</xdr:row>
      <xdr:rowOff>190500</xdr:rowOff>
    </xdr:from>
    <xdr:to>
      <xdr:col>1</xdr:col>
      <xdr:colOff>3958167</xdr:colOff>
      <xdr:row>0</xdr:row>
      <xdr:rowOff>1350791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ED036A-4087-D84D-9422-3A40C9235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00" y="190500"/>
          <a:ext cx="3556000" cy="1160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174089</xdr:colOff>
      <xdr:row>8</xdr:row>
      <xdr:rowOff>132875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3D8816-1CD2-1343-9371-B84E121EB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640" y="342472"/>
          <a:ext cx="3556000" cy="11602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18140</xdr:rowOff>
    </xdr:from>
    <xdr:to>
      <xdr:col>3</xdr:col>
      <xdr:colOff>272143</xdr:colOff>
      <xdr:row>7</xdr:row>
      <xdr:rowOff>53574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9935E1-8545-0F4A-86D7-A549D98A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429" y="18140"/>
          <a:ext cx="3556000" cy="11602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1961444</xdr:colOff>
      <xdr:row>7</xdr:row>
      <xdr:rowOff>186624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C48AA7-0A24-0E47-942E-C14AFA7EA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333" y="141111"/>
          <a:ext cx="3556000" cy="11602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1422400</xdr:colOff>
      <xdr:row>7</xdr:row>
      <xdr:rowOff>334791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E9954D-4617-CE44-8F18-C0EAAB3A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279400"/>
          <a:ext cx="3556000" cy="11602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1422400</xdr:colOff>
      <xdr:row>7</xdr:row>
      <xdr:rowOff>334791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1500BB-685B-A047-98CE-D9D04933A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279400"/>
          <a:ext cx="3556000" cy="11602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1422400</xdr:colOff>
      <xdr:row>7</xdr:row>
      <xdr:rowOff>334791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A6D43F-4992-6A48-86AA-02879C40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279400"/>
          <a:ext cx="3556000" cy="11602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1422400</xdr:colOff>
      <xdr:row>7</xdr:row>
      <xdr:rowOff>334791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2BA78C-AE4E-304F-844B-26BEAEA09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279400"/>
          <a:ext cx="3556000" cy="11602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working/waccache/4f141d09-e64d-4722-8384-21d88378a85d/Plan%20Email%20Marketing%20Blog%20Tu%20Equilibrio%20y%20Bienestar%20-%202do%20semestre%20-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</sheetNames>
    <sheetDataSet>
      <sheetData sheetId="0" refreshError="1">
        <row r="3">
          <cell r="C3">
            <v>2020</v>
          </cell>
          <cell r="E3" t="str">
            <v>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W16"/>
  <sheetViews>
    <sheetView zoomScale="85" zoomScaleNormal="85" zoomScalePageLayoutView="60" workbookViewId="0">
      <selection activeCell="E6" sqref="E6"/>
    </sheetView>
  </sheetViews>
  <sheetFormatPr baseColWidth="10" defaultColWidth="10.6640625" defaultRowHeight="15"/>
  <cols>
    <col min="1" max="1" width="10.6640625" style="2"/>
    <col min="2" max="2" width="62" style="2" customWidth="1"/>
    <col min="3" max="3" width="27.6640625" style="2" customWidth="1"/>
    <col min="4" max="4" width="32.6640625" style="2" customWidth="1"/>
    <col min="5" max="5" width="30" style="2" customWidth="1"/>
    <col min="6" max="6" width="27.33203125" style="2" customWidth="1"/>
    <col min="7" max="7" width="45" style="2" customWidth="1"/>
    <col min="8" max="8" width="42.33203125" style="2" bestFit="1" customWidth="1"/>
    <col min="9" max="9" width="32.33203125" style="2" customWidth="1"/>
    <col min="10" max="16384" width="10.6640625" style="2"/>
  </cols>
  <sheetData>
    <row r="1" spans="1:49" ht="127" customHeight="1">
      <c r="B1" s="11"/>
      <c r="C1" s="101" t="s">
        <v>2</v>
      </c>
      <c r="D1" s="101"/>
    </row>
    <row r="2" spans="1:49" s="12" customFormat="1" ht="26" customHeight="1">
      <c r="B2" s="100" t="s">
        <v>3</v>
      </c>
      <c r="C2" s="100" t="s">
        <v>4</v>
      </c>
      <c r="D2" s="100" t="s">
        <v>5</v>
      </c>
      <c r="E2" s="100" t="s">
        <v>6</v>
      </c>
      <c r="F2" s="100" t="s">
        <v>7</v>
      </c>
      <c r="G2" s="100" t="s">
        <v>18</v>
      </c>
      <c r="H2" s="100" t="s">
        <v>8</v>
      </c>
      <c r="I2" s="100" t="s">
        <v>9</v>
      </c>
    </row>
    <row r="3" spans="1:49" s="13" customFormat="1" ht="56" customHeight="1">
      <c r="A3" s="2"/>
      <c r="B3" s="131" t="s">
        <v>31</v>
      </c>
      <c r="C3" s="92" t="s">
        <v>32</v>
      </c>
      <c r="D3" s="93" t="s">
        <v>21</v>
      </c>
      <c r="E3" s="94" t="s">
        <v>33</v>
      </c>
      <c r="F3" s="94" t="s">
        <v>10</v>
      </c>
      <c r="G3" s="94" t="s">
        <v>17</v>
      </c>
      <c r="H3" s="95" t="s">
        <v>11</v>
      </c>
      <c r="I3" s="96" t="s">
        <v>34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s="13" customFormat="1" ht="56" customHeight="1">
      <c r="A4" s="2"/>
      <c r="B4" s="59" t="s">
        <v>19</v>
      </c>
      <c r="C4" s="92" t="s">
        <v>20</v>
      </c>
      <c r="D4" s="93" t="s">
        <v>21</v>
      </c>
      <c r="E4" s="94" t="s">
        <v>47</v>
      </c>
      <c r="F4" s="94" t="s">
        <v>10</v>
      </c>
      <c r="G4" s="94" t="s">
        <v>17</v>
      </c>
      <c r="H4" s="95" t="s">
        <v>11</v>
      </c>
      <c r="I4" s="96" t="s">
        <v>22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s="34" customFormat="1" ht="56" customHeight="1">
      <c r="A5" s="2"/>
      <c r="B5" s="130" t="s">
        <v>23</v>
      </c>
      <c r="C5" s="119" t="s">
        <v>24</v>
      </c>
      <c r="D5" s="120" t="s">
        <v>25</v>
      </c>
      <c r="E5" s="98" t="s">
        <v>26</v>
      </c>
      <c r="F5" s="98" t="s">
        <v>10</v>
      </c>
      <c r="G5" s="98" t="s">
        <v>17</v>
      </c>
      <c r="H5" s="58" t="s">
        <v>11</v>
      </c>
      <c r="I5" s="121" t="s">
        <v>27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s="35" customFormat="1" ht="56" customHeight="1">
      <c r="A6" s="97"/>
      <c r="B6" s="122" t="s">
        <v>40</v>
      </c>
      <c r="C6" s="123" t="s">
        <v>40</v>
      </c>
      <c r="D6" s="124" t="s">
        <v>28</v>
      </c>
      <c r="E6" s="98" t="s">
        <v>29</v>
      </c>
      <c r="F6" s="98" t="s">
        <v>12</v>
      </c>
      <c r="G6" s="98" t="s">
        <v>16</v>
      </c>
      <c r="H6" s="58" t="s">
        <v>15</v>
      </c>
      <c r="I6" s="121" t="s">
        <v>30</v>
      </c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</row>
    <row r="7" spans="1:49" s="33" customFormat="1" ht="76" customHeight="1">
      <c r="A7" s="2"/>
      <c r="B7" s="129" t="s">
        <v>35</v>
      </c>
      <c r="C7" s="125" t="s">
        <v>36</v>
      </c>
      <c r="D7" s="126" t="s">
        <v>13</v>
      </c>
      <c r="E7" s="127" t="s">
        <v>41</v>
      </c>
      <c r="F7" s="127" t="s">
        <v>14</v>
      </c>
      <c r="G7" s="127" t="s">
        <v>17</v>
      </c>
      <c r="H7" s="126" t="s">
        <v>11</v>
      </c>
      <c r="I7" s="132" t="s">
        <v>37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s="33" customFormat="1" ht="81" customHeight="1">
      <c r="A8" s="2"/>
      <c r="B8" s="128" t="s">
        <v>39</v>
      </c>
      <c r="C8" s="125" t="s">
        <v>39</v>
      </c>
      <c r="D8" s="126" t="s">
        <v>42</v>
      </c>
      <c r="E8" s="127" t="s">
        <v>55</v>
      </c>
      <c r="F8" s="127" t="s">
        <v>12</v>
      </c>
      <c r="G8" s="127" t="s">
        <v>16</v>
      </c>
      <c r="H8" s="126" t="s">
        <v>15</v>
      </c>
      <c r="I8" s="132" t="s">
        <v>38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s="33" customFormat="1" ht="81" customHeight="1">
      <c r="A9" s="2"/>
      <c r="B9" s="4"/>
      <c r="C9" s="31"/>
      <c r="D9" s="31"/>
      <c r="E9" s="36"/>
      <c r="F9" s="36"/>
      <c r="G9" s="36"/>
      <c r="H9" s="37"/>
      <c r="I9" s="3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98" customHeight="1">
      <c r="B10" s="5"/>
      <c r="C10" s="38"/>
      <c r="D10" s="38"/>
      <c r="E10" s="39"/>
      <c r="F10" s="39"/>
      <c r="G10" s="39"/>
      <c r="H10" s="39"/>
      <c r="I10" s="7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1:49" ht="98" customHeight="1">
      <c r="B11" s="8"/>
      <c r="C11" s="40"/>
      <c r="D11" s="40"/>
      <c r="E11" s="39"/>
      <c r="F11" s="39"/>
      <c r="G11" s="39"/>
      <c r="H11" s="39"/>
      <c r="I11" s="7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spans="1:49" ht="98" customHeight="1">
      <c r="B12" s="9"/>
      <c r="C12" s="41"/>
      <c r="D12" s="4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1:49" ht="98" customHeight="1">
      <c r="B13" s="6"/>
      <c r="C13" s="39"/>
      <c r="D13" s="39"/>
      <c r="E13" s="32"/>
      <c r="F13" s="4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</row>
    <row r="14" spans="1:49"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 spans="1:49"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</row>
    <row r="16" spans="1:49"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</sheetData>
  <sheetProtection selectLockedCells="1" selectUnlockedCells="1"/>
  <mergeCells count="1">
    <mergeCell ref="C1:D1"/>
  </mergeCells>
  <phoneticPr fontId="8" type="noConversion"/>
  <pageMargins left="0.70000000000000007" right="0.70000000000000007" top="0.75000000000000011" bottom="0.75000000000000011" header="0.51" footer="0.51"/>
  <pageSetup paperSize="9" scale="50" firstPageNumber="0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2:P84"/>
  <sheetViews>
    <sheetView tabSelected="1" topLeftCell="A17" zoomScale="89" workbookViewId="0">
      <selection activeCell="K71" sqref="K71"/>
    </sheetView>
  </sheetViews>
  <sheetFormatPr baseColWidth="10" defaultColWidth="10.83203125" defaultRowHeight="13"/>
  <cols>
    <col min="1" max="3" width="10.83203125" style="1"/>
    <col min="4" max="4" width="11.83203125" style="1" customWidth="1"/>
    <col min="5" max="16384" width="10.83203125" style="1"/>
  </cols>
  <sheetData>
    <row r="12" spans="2:12" ht="26">
      <c r="B12" s="109" t="s">
        <v>43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</row>
    <row r="23" spans="2:16" ht="43">
      <c r="B23" s="105" t="s">
        <v>44</v>
      </c>
      <c r="C23" s="107"/>
      <c r="D23" s="107"/>
      <c r="E23" s="107"/>
      <c r="F23" s="75"/>
      <c r="G23" s="76"/>
      <c r="H23" s="77"/>
      <c r="J23" s="110" t="s">
        <v>48</v>
      </c>
      <c r="K23" s="106"/>
      <c r="L23" s="106"/>
      <c r="M23" s="106"/>
      <c r="N23" s="60"/>
      <c r="O23" s="61"/>
      <c r="P23" s="62"/>
    </row>
    <row r="24" spans="2:16" ht="14">
      <c r="B24" s="78" t="str">
        <f>WeekStart</f>
        <v>L</v>
      </c>
      <c r="C24" s="49" t="str">
        <f t="shared" ref="C24:H24" si="0">UPPER(LEFT(TEXT(C25,"ddd"),1))</f>
        <v>M</v>
      </c>
      <c r="D24" s="49" t="str">
        <f t="shared" si="0"/>
        <v>M</v>
      </c>
      <c r="E24" s="49" t="str">
        <f t="shared" si="0"/>
        <v>J</v>
      </c>
      <c r="F24" s="49" t="str">
        <f t="shared" si="0"/>
        <v>V</v>
      </c>
      <c r="G24" s="49" t="str">
        <f t="shared" si="0"/>
        <v>S</v>
      </c>
      <c r="H24" s="79" t="str">
        <f t="shared" si="0"/>
        <v>D</v>
      </c>
      <c r="J24" s="63" t="str">
        <f>WeekStart</f>
        <v>L</v>
      </c>
      <c r="K24" s="53" t="str">
        <f t="shared" ref="K24:P24" si="1">UPPER(LEFT(TEXT(K25,"ddd"),1))</f>
        <v>M</v>
      </c>
      <c r="L24" s="53" t="str">
        <f t="shared" si="1"/>
        <v>M</v>
      </c>
      <c r="M24" s="53" t="str">
        <f t="shared" si="1"/>
        <v>J</v>
      </c>
      <c r="N24" s="53" t="str">
        <f t="shared" si="1"/>
        <v>V</v>
      </c>
      <c r="O24" s="53" t="str">
        <f t="shared" si="1"/>
        <v>S</v>
      </c>
      <c r="P24" s="64" t="str">
        <f t="shared" si="1"/>
        <v>D</v>
      </c>
    </row>
    <row r="25" spans="2:16" ht="14">
      <c r="B25" s="80">
        <f t="array" ref="B25:H25">DaysAndWeeks+DATE(CalendarYear,9,1)-WEEKDAY(DATE(CalendarYear,9,1),(WeekStart="L")+1)+1</f>
        <v>44074</v>
      </c>
      <c r="C25" s="50">
        <v>44075</v>
      </c>
      <c r="D25" s="50">
        <v>44076</v>
      </c>
      <c r="E25" s="50">
        <v>44077</v>
      </c>
      <c r="F25" s="50">
        <v>44078</v>
      </c>
      <c r="G25" s="50">
        <v>44079</v>
      </c>
      <c r="H25" s="81">
        <v>44080</v>
      </c>
      <c r="J25" s="65">
        <f t="array" ref="J25:P25">DaysAndWeeks+DATE(CalendarYear,10,1)-WEEKDAY(DATE(CalendarYear,10,1),(WeekStart="L")+1)+1</f>
        <v>44102</v>
      </c>
      <c r="K25" s="54">
        <v>44103</v>
      </c>
      <c r="L25" s="54">
        <v>44104</v>
      </c>
      <c r="M25" s="54">
        <v>44105</v>
      </c>
      <c r="N25" s="54">
        <v>44106</v>
      </c>
      <c r="O25" s="54">
        <v>44107</v>
      </c>
      <c r="P25" s="66">
        <v>44108</v>
      </c>
    </row>
    <row r="26" spans="2:16">
      <c r="B26" s="82"/>
      <c r="C26" s="51"/>
      <c r="D26" s="51"/>
      <c r="E26" s="52"/>
      <c r="F26" s="51"/>
      <c r="G26" s="51"/>
      <c r="H26" s="83"/>
      <c r="J26" s="67"/>
      <c r="K26" s="55"/>
      <c r="L26" s="55"/>
      <c r="M26" s="57"/>
      <c r="N26" s="55"/>
      <c r="O26" s="55"/>
      <c r="P26" s="68"/>
    </row>
    <row r="27" spans="2:16" ht="14">
      <c r="B27" s="80">
        <f t="array" ref="B27:H27">DaysAndWeeks+DATE(CalendarYear,9,1)-WEEKDAY(DATE(CalendarYear,9,1),(WeekStart="L")+1)+8</f>
        <v>44081</v>
      </c>
      <c r="C27" s="50">
        <v>44082</v>
      </c>
      <c r="D27" s="50">
        <v>44083</v>
      </c>
      <c r="E27" s="50">
        <v>44084</v>
      </c>
      <c r="F27" s="50">
        <v>44085</v>
      </c>
      <c r="G27" s="50">
        <v>44086</v>
      </c>
      <c r="H27" s="81">
        <v>44087</v>
      </c>
      <c r="J27" s="112"/>
      <c r="K27" s="113"/>
      <c r="L27" s="113"/>
      <c r="M27" s="113"/>
      <c r="N27" s="113"/>
      <c r="O27" s="113"/>
      <c r="P27" s="114"/>
    </row>
    <row r="28" spans="2:16">
      <c r="B28" s="102" t="s">
        <v>49</v>
      </c>
      <c r="C28" s="103"/>
      <c r="D28" s="103"/>
      <c r="E28" s="103"/>
      <c r="F28" s="103"/>
      <c r="G28" s="103"/>
      <c r="H28" s="104"/>
      <c r="J28" s="67"/>
      <c r="K28" s="55"/>
      <c r="L28" s="55"/>
      <c r="M28" s="55"/>
      <c r="N28" s="55"/>
      <c r="O28" s="55"/>
      <c r="P28" s="68"/>
    </row>
    <row r="29" spans="2:16" ht="14">
      <c r="B29" s="80">
        <f t="array" ref="B29:H29">DaysAndWeeks+DATE(CalendarYear,9,1)-WEEKDAY(DATE(CalendarYear,9,1),(WeekStart="L")+1)+15</f>
        <v>44088</v>
      </c>
      <c r="C29" s="50">
        <v>44089</v>
      </c>
      <c r="D29" s="50">
        <v>44090</v>
      </c>
      <c r="E29" s="50">
        <v>44091</v>
      </c>
      <c r="F29" s="50">
        <v>44092</v>
      </c>
      <c r="G29" s="50">
        <v>44093</v>
      </c>
      <c r="H29" s="81">
        <v>44094</v>
      </c>
      <c r="J29" s="65">
        <f t="array" ref="J29:P29">DaysAndWeeks+DATE(CalendarYear,10,1)-WEEKDAY(DATE(CalendarYear,10,1),(WeekStart="L")+1)+15</f>
        <v>44116</v>
      </c>
      <c r="K29" s="54">
        <v>44117</v>
      </c>
      <c r="L29" s="54">
        <v>44118</v>
      </c>
      <c r="M29" s="54">
        <v>44119</v>
      </c>
      <c r="N29" s="54">
        <v>44120</v>
      </c>
      <c r="O29" s="54">
        <v>44121</v>
      </c>
      <c r="P29" s="66">
        <v>44122</v>
      </c>
    </row>
    <row r="30" spans="2:16">
      <c r="B30" s="102"/>
      <c r="C30" s="103"/>
      <c r="D30" s="103"/>
      <c r="E30" s="103"/>
      <c r="F30" s="103"/>
      <c r="G30" s="103"/>
      <c r="H30" s="104"/>
      <c r="J30" s="74"/>
      <c r="K30" s="55"/>
      <c r="L30" s="55"/>
      <c r="M30" s="55"/>
      <c r="N30" s="55"/>
      <c r="O30" s="55"/>
      <c r="P30" s="68"/>
    </row>
    <row r="31" spans="2:16" ht="14">
      <c r="B31" s="80">
        <f t="array" ref="B31:H31">DaysAndWeeks+DATE(CalendarYear,9,1)-WEEKDAY(DATE(CalendarYear,9,1),(WeekStart="L")+1)+22</f>
        <v>44095</v>
      </c>
      <c r="C31" s="50">
        <v>44096</v>
      </c>
      <c r="D31" s="50">
        <v>44097</v>
      </c>
      <c r="E31" s="50">
        <v>44098</v>
      </c>
      <c r="F31" s="50">
        <v>44099</v>
      </c>
      <c r="G31" s="50">
        <v>44100</v>
      </c>
      <c r="H31" s="81">
        <v>44101</v>
      </c>
      <c r="J31" s="65">
        <f t="array" ref="J31:P31">DaysAndWeeks+DATE(CalendarYear,10,1)-WEEKDAY(DATE(CalendarYear,10,1),(WeekStart="L")+1)+22</f>
        <v>44123</v>
      </c>
      <c r="K31" s="54">
        <v>44124</v>
      </c>
      <c r="L31" s="56">
        <v>44125</v>
      </c>
      <c r="M31" s="54">
        <v>44126</v>
      </c>
      <c r="N31" s="54">
        <v>44127</v>
      </c>
      <c r="O31" s="54">
        <v>44128</v>
      </c>
      <c r="P31" s="66">
        <v>44129</v>
      </c>
    </row>
    <row r="32" spans="2:16">
      <c r="J32" s="111"/>
      <c r="K32" s="103"/>
      <c r="L32" s="103"/>
      <c r="M32" s="103"/>
      <c r="N32" s="103"/>
      <c r="O32" s="103"/>
      <c r="P32" s="104"/>
    </row>
    <row r="33" spans="2:16" ht="14">
      <c r="B33" s="80">
        <f t="array" ref="B33:H33">DaysAndWeeks+DATE(CalendarYear,9,1)-WEEKDAY(DATE(CalendarYear,9,1),(WeekStart="L")+1)+29</f>
        <v>44102</v>
      </c>
      <c r="C33" s="50">
        <v>44103</v>
      </c>
      <c r="D33" s="50">
        <v>44104</v>
      </c>
      <c r="E33" s="50">
        <v>44105</v>
      </c>
      <c r="F33" s="50">
        <v>44106</v>
      </c>
      <c r="G33" s="50">
        <v>44107</v>
      </c>
      <c r="H33" s="81">
        <v>44108</v>
      </c>
      <c r="J33" s="65">
        <f t="array" ref="J33:P33">DaysAndWeeks+DATE(CalendarYear,10,1)-WEEKDAY(DATE(CalendarYear,10,1),(WeekStart="L")+1)+29</f>
        <v>44130</v>
      </c>
      <c r="K33" s="54">
        <v>44131</v>
      </c>
      <c r="L33" s="54">
        <v>44132</v>
      </c>
      <c r="M33" s="54">
        <v>44133</v>
      </c>
      <c r="N33" s="56">
        <v>44134</v>
      </c>
      <c r="O33" s="54">
        <v>44135</v>
      </c>
      <c r="P33" s="66">
        <v>44136</v>
      </c>
    </row>
    <row r="34" spans="2:16">
      <c r="B34" s="51"/>
      <c r="C34" s="51"/>
      <c r="D34" s="51"/>
      <c r="E34" s="51"/>
      <c r="F34" s="51"/>
      <c r="G34" s="51"/>
      <c r="H34" s="83"/>
      <c r="J34" s="111" t="s">
        <v>50</v>
      </c>
      <c r="K34" s="103"/>
      <c r="L34" s="103"/>
      <c r="M34" s="103"/>
      <c r="N34" s="103"/>
      <c r="O34" s="103"/>
      <c r="P34" s="104"/>
    </row>
    <row r="35" spans="2:16" ht="14">
      <c r="B35" s="80">
        <f t="array" ref="B35:H35">DaysAndWeeks+DATE(CalendarYear,9,1)-WEEKDAY(DATE(CalendarYear,9,1),(WeekStart="L")+1)+36</f>
        <v>44109</v>
      </c>
      <c r="C35" s="50">
        <v>44110</v>
      </c>
      <c r="D35" s="50">
        <v>44111</v>
      </c>
      <c r="E35" s="50">
        <v>44112</v>
      </c>
      <c r="F35" s="50">
        <v>44113</v>
      </c>
      <c r="G35" s="50">
        <v>44114</v>
      </c>
      <c r="H35" s="81">
        <v>44115</v>
      </c>
      <c r="J35" s="65">
        <f t="array" ref="J35:P35">DaysAndWeeks+DATE(CalendarYear,10,1)-WEEKDAY(DATE(CalendarYear,10,1),(WeekStart="L")+1)+36</f>
        <v>44137</v>
      </c>
      <c r="K35" s="54">
        <v>44138</v>
      </c>
      <c r="L35" s="54">
        <v>44139</v>
      </c>
      <c r="M35" s="54">
        <v>44140</v>
      </c>
      <c r="N35" s="54">
        <v>44141</v>
      </c>
      <c r="O35" s="54">
        <v>44142</v>
      </c>
      <c r="P35" s="66">
        <v>44143</v>
      </c>
    </row>
    <row r="36" spans="2:16">
      <c r="B36" s="84"/>
      <c r="C36" s="85"/>
      <c r="D36" s="85"/>
      <c r="E36" s="85"/>
      <c r="F36" s="85"/>
      <c r="G36" s="85"/>
      <c r="H36" s="86"/>
      <c r="J36" s="71"/>
      <c r="K36" s="72"/>
      <c r="L36" s="72"/>
      <c r="M36" s="72"/>
      <c r="N36" s="72"/>
      <c r="O36" s="72"/>
      <c r="P36" s="73"/>
    </row>
    <row r="39" spans="2:16" ht="43">
      <c r="B39" s="105" t="s">
        <v>45</v>
      </c>
      <c r="C39" s="107"/>
      <c r="D39" s="107"/>
      <c r="E39" s="107"/>
      <c r="F39" s="60"/>
      <c r="G39" s="61"/>
      <c r="H39" s="62"/>
    </row>
    <row r="40" spans="2:16" ht="14">
      <c r="B40" s="63" t="str">
        <f>WeekStart</f>
        <v>L</v>
      </c>
      <c r="C40" s="53" t="str">
        <f t="shared" ref="C40:H40" si="2">UPPER(LEFT(TEXT(C41,"ddd"),1))</f>
        <v>M</v>
      </c>
      <c r="D40" s="53" t="str">
        <f t="shared" si="2"/>
        <v>M</v>
      </c>
      <c r="E40" s="53" t="str">
        <f t="shared" si="2"/>
        <v>J</v>
      </c>
      <c r="F40" s="53" t="str">
        <f t="shared" si="2"/>
        <v>V</v>
      </c>
      <c r="G40" s="53" t="str">
        <f t="shared" si="2"/>
        <v>S</v>
      </c>
      <c r="H40" s="64" t="str">
        <f t="shared" si="2"/>
        <v>D</v>
      </c>
    </row>
    <row r="41" spans="2:16" ht="14">
      <c r="B41" s="65">
        <f t="array" ref="B41:H41">DaysAndWeeks+DATE(CalendarYear,12,1)-WEEKDAY(DATE(CalendarYear,12,1),(WeekStart="L")+1)+1</f>
        <v>44165</v>
      </c>
      <c r="C41" s="54">
        <v>44166</v>
      </c>
      <c r="D41" s="54">
        <v>44167</v>
      </c>
      <c r="E41" s="54">
        <v>44168</v>
      </c>
      <c r="F41" s="54">
        <v>44169</v>
      </c>
      <c r="G41" s="54">
        <v>44170</v>
      </c>
      <c r="H41" s="66">
        <v>44171</v>
      </c>
    </row>
    <row r="42" spans="2:16">
      <c r="B42" s="108" t="s">
        <v>51</v>
      </c>
      <c r="C42" s="103"/>
      <c r="D42" s="103"/>
      <c r="E42" s="103"/>
      <c r="F42" s="103"/>
      <c r="G42" s="103"/>
      <c r="H42" s="104"/>
    </row>
    <row r="43" spans="2:16" ht="14">
      <c r="B43" s="65">
        <f t="array" ref="B43:H43">DaysAndWeeks+DATE(CalendarYear,12,1)-WEEKDAY(DATE(CalendarYear,12,1),(WeekStart="L")+1)+8</f>
        <v>44172</v>
      </c>
      <c r="C43" s="54">
        <v>44173</v>
      </c>
      <c r="D43" s="54">
        <v>44174</v>
      </c>
      <c r="E43" s="54">
        <v>44175</v>
      </c>
      <c r="F43" s="54">
        <v>44176</v>
      </c>
      <c r="G43" s="54">
        <v>44177</v>
      </c>
      <c r="H43" s="66">
        <v>44178</v>
      </c>
    </row>
    <row r="44" spans="2:16">
      <c r="B44" s="67"/>
      <c r="C44" s="55"/>
      <c r="D44" s="55"/>
      <c r="E44" s="55"/>
      <c r="F44" s="55"/>
      <c r="G44" s="55"/>
      <c r="H44" s="68"/>
    </row>
    <row r="45" spans="2:16" ht="14">
      <c r="B45" s="65">
        <f t="array" ref="B45:H45">DaysAndWeeks+DATE(CalendarYear,12,1)-WEEKDAY(DATE(CalendarYear,12,1),(WeekStart="L")+1)+15</f>
        <v>44179</v>
      </c>
      <c r="C45" s="54">
        <v>44180</v>
      </c>
      <c r="D45" s="54">
        <v>44181</v>
      </c>
      <c r="E45" s="54">
        <v>44182</v>
      </c>
      <c r="F45" s="54">
        <v>44183</v>
      </c>
      <c r="G45" s="54">
        <v>44184</v>
      </c>
      <c r="H45" s="66">
        <v>44185</v>
      </c>
    </row>
    <row r="46" spans="2:16" ht="13" customHeight="1">
      <c r="B46" s="108"/>
      <c r="C46" s="103"/>
      <c r="D46" s="103"/>
      <c r="E46" s="103"/>
      <c r="F46" s="103"/>
      <c r="G46" s="103"/>
      <c r="H46" s="104"/>
    </row>
    <row r="47" spans="2:16" ht="14">
      <c r="B47" s="69">
        <f t="array" ref="B47:H47">DaysAndWeeks+DATE(CalendarYear,12,1)-WEEKDAY(DATE(CalendarYear,12,1),(WeekStart="L")+1)+22</f>
        <v>44186</v>
      </c>
      <c r="C47" s="54">
        <v>44187</v>
      </c>
      <c r="D47" s="54">
        <v>44188</v>
      </c>
      <c r="E47" s="54">
        <v>44189</v>
      </c>
      <c r="F47" s="54">
        <v>44190</v>
      </c>
      <c r="G47" s="54">
        <v>44191</v>
      </c>
      <c r="H47" s="66">
        <v>44192</v>
      </c>
    </row>
    <row r="48" spans="2:16">
      <c r="B48" s="70"/>
      <c r="C48" s="55"/>
      <c r="D48" s="55"/>
      <c r="E48" s="55"/>
      <c r="F48" s="55"/>
      <c r="G48" s="55"/>
      <c r="H48" s="68"/>
    </row>
    <row r="49" spans="2:16" ht="14">
      <c r="B49" s="65">
        <f t="array" ref="B49:H49">DaysAndWeeks+DATE(CalendarYear,12,1)-WEEKDAY(DATE(CalendarYear,12,1),(WeekStart="L")+1)+29</f>
        <v>44193</v>
      </c>
      <c r="C49" s="54">
        <v>44194</v>
      </c>
      <c r="D49" s="54">
        <v>44195</v>
      </c>
      <c r="E49" s="54">
        <v>44196</v>
      </c>
      <c r="F49" s="54">
        <v>44197</v>
      </c>
      <c r="G49" s="54">
        <v>44198</v>
      </c>
      <c r="H49" s="66">
        <v>44199</v>
      </c>
    </row>
    <row r="50" spans="2:16">
      <c r="B50" s="67"/>
      <c r="C50" s="55"/>
      <c r="D50" s="55"/>
      <c r="E50" s="55"/>
      <c r="F50" s="55"/>
      <c r="G50" s="55"/>
      <c r="H50" s="68"/>
    </row>
    <row r="51" spans="2:16" ht="14">
      <c r="B51" s="65">
        <f t="array" ref="B51:H51">DaysAndWeeks+DATE(CalendarYear,12,1)-WEEKDAY(DATE(CalendarYear,12,1),(WeekStart="L")+1)+36</f>
        <v>44200</v>
      </c>
      <c r="C51" s="54">
        <v>44201</v>
      </c>
      <c r="D51" s="54">
        <v>44202</v>
      </c>
      <c r="E51" s="54">
        <v>44203</v>
      </c>
      <c r="F51" s="54">
        <v>44204</v>
      </c>
      <c r="G51" s="54">
        <v>44205</v>
      </c>
      <c r="H51" s="66">
        <v>44206</v>
      </c>
    </row>
    <row r="52" spans="2:16">
      <c r="B52" s="71"/>
      <c r="C52" s="72"/>
      <c r="D52" s="72"/>
      <c r="E52" s="72"/>
      <c r="F52" s="72"/>
      <c r="G52" s="72"/>
      <c r="H52" s="73"/>
    </row>
    <row r="53" spans="2:16">
      <c r="I53" s="10"/>
      <c r="J53" s="10"/>
      <c r="K53" s="10"/>
      <c r="L53" s="10"/>
      <c r="M53" s="10"/>
      <c r="N53" s="10"/>
      <c r="O53" s="10"/>
    </row>
    <row r="55" spans="2:16" ht="43">
      <c r="B55" s="105" t="s">
        <v>46</v>
      </c>
      <c r="C55" s="107"/>
      <c r="D55" s="107"/>
      <c r="E55" s="107"/>
      <c r="F55" s="60"/>
      <c r="G55" s="61"/>
      <c r="H55" s="62"/>
      <c r="J55" s="105" t="s">
        <v>0</v>
      </c>
      <c r="K55" s="107"/>
      <c r="L55" s="107"/>
      <c r="M55" s="107"/>
      <c r="N55" s="60"/>
      <c r="O55" s="61"/>
      <c r="P55" s="62"/>
    </row>
    <row r="56" spans="2:16" ht="14">
      <c r="B56" s="63" t="str">
        <f>WeekStart</f>
        <v>L</v>
      </c>
      <c r="C56" s="53" t="str">
        <f t="shared" ref="C56:H56" si="3">UPPER(LEFT(TEXT(C57,"ddd"),1))</f>
        <v>M</v>
      </c>
      <c r="D56" s="53" t="str">
        <f t="shared" si="3"/>
        <v>M</v>
      </c>
      <c r="E56" s="53" t="str">
        <f t="shared" si="3"/>
        <v>J</v>
      </c>
      <c r="F56" s="53" t="str">
        <f t="shared" si="3"/>
        <v>V</v>
      </c>
      <c r="G56" s="53" t="str">
        <f t="shared" si="3"/>
        <v>S</v>
      </c>
      <c r="H56" s="64" t="str">
        <f t="shared" si="3"/>
        <v>D</v>
      </c>
      <c r="J56" s="63" t="str">
        <f>WeekStart</f>
        <v>L</v>
      </c>
      <c r="K56" s="53" t="str">
        <f t="shared" ref="K56:P56" si="4">UPPER(LEFT(TEXT(K57,"ddd"),1))</f>
        <v>M</v>
      </c>
      <c r="L56" s="53" t="str">
        <f t="shared" si="4"/>
        <v>M</v>
      </c>
      <c r="M56" s="53" t="str">
        <f t="shared" si="4"/>
        <v>J</v>
      </c>
      <c r="N56" s="53" t="str">
        <f t="shared" si="4"/>
        <v>V</v>
      </c>
      <c r="O56" s="53" t="str">
        <f t="shared" si="4"/>
        <v>S</v>
      </c>
      <c r="P56" s="64" t="str">
        <f t="shared" si="4"/>
        <v>D</v>
      </c>
    </row>
    <row r="57" spans="2:16" ht="14">
      <c r="B57" s="65">
        <f t="array" ref="B57:H57">DaysAndWeeks+DATE(CalendarYear,12,1)-WEEKDAY(DATE(CalendarYear,12,1),(WeekStart="L")+1)+1</f>
        <v>44165</v>
      </c>
      <c r="C57" s="54">
        <v>44166</v>
      </c>
      <c r="D57" s="54">
        <v>44167</v>
      </c>
      <c r="E57" s="54">
        <v>44168</v>
      </c>
      <c r="F57" s="54">
        <v>44169</v>
      </c>
      <c r="G57" s="54">
        <v>44170</v>
      </c>
      <c r="H57" s="66">
        <v>44171</v>
      </c>
      <c r="J57" s="65">
        <f t="array" ref="J57:P57">DaysAndWeeks+DATE(CalendarYear,12,1)-WEEKDAY(DATE(CalendarYear,12,1),(WeekStart="L")+1)+1</f>
        <v>44165</v>
      </c>
      <c r="K57" s="54">
        <v>44166</v>
      </c>
      <c r="L57" s="54">
        <v>44167</v>
      </c>
      <c r="M57" s="54">
        <v>44168</v>
      </c>
      <c r="N57" s="54">
        <v>44169</v>
      </c>
      <c r="O57" s="54">
        <v>44170</v>
      </c>
      <c r="P57" s="66">
        <v>44171</v>
      </c>
    </row>
    <row r="58" spans="2:16">
      <c r="B58" s="108"/>
      <c r="C58" s="103"/>
      <c r="D58" s="103"/>
      <c r="E58" s="103"/>
      <c r="F58" s="103"/>
      <c r="G58" s="103"/>
      <c r="H58" s="104"/>
      <c r="J58" s="108" t="s">
        <v>53</v>
      </c>
      <c r="K58" s="103"/>
      <c r="L58" s="103"/>
      <c r="M58" s="103"/>
      <c r="N58" s="103"/>
      <c r="O58" s="103"/>
      <c r="P58" s="104"/>
    </row>
    <row r="59" spans="2:16" ht="14">
      <c r="B59" s="65">
        <f t="array" ref="B59:H59">DaysAndWeeks+DATE(CalendarYear,12,1)-WEEKDAY(DATE(CalendarYear,12,1),(WeekStart="L")+1)+8</f>
        <v>44172</v>
      </c>
      <c r="C59" s="54">
        <v>44173</v>
      </c>
      <c r="D59" s="54">
        <v>44174</v>
      </c>
      <c r="E59" s="54">
        <v>44175</v>
      </c>
      <c r="F59" s="54">
        <v>44176</v>
      </c>
      <c r="G59" s="54">
        <v>44177</v>
      </c>
      <c r="H59" s="66">
        <v>44178</v>
      </c>
      <c r="J59" s="65">
        <f t="array" ref="J59:P59">DaysAndWeeks+DATE(CalendarYear,12,1)-WEEKDAY(DATE(CalendarYear,12,1),(WeekStart="L")+1)+8</f>
        <v>44172</v>
      </c>
      <c r="K59" s="54">
        <v>44173</v>
      </c>
      <c r="L59" s="54">
        <v>44174</v>
      </c>
      <c r="M59" s="54">
        <v>44175</v>
      </c>
      <c r="N59" s="54">
        <v>44176</v>
      </c>
      <c r="O59" s="54">
        <v>44177</v>
      </c>
      <c r="P59" s="66">
        <v>44178</v>
      </c>
    </row>
    <row r="60" spans="2:16">
      <c r="B60" s="108" t="s">
        <v>52</v>
      </c>
      <c r="C60" s="103"/>
      <c r="D60" s="103"/>
      <c r="E60" s="103"/>
      <c r="F60" s="103"/>
      <c r="G60" s="103"/>
      <c r="H60" s="104"/>
      <c r="J60" s="67"/>
      <c r="K60" s="55"/>
      <c r="L60" s="55"/>
      <c r="M60" s="55"/>
      <c r="N60" s="55"/>
      <c r="O60" s="55"/>
      <c r="P60" s="68"/>
    </row>
    <row r="61" spans="2:16" ht="14">
      <c r="B61" s="65">
        <f t="array" ref="B61:H61">DaysAndWeeks+DATE(CalendarYear,12,1)-WEEKDAY(DATE(CalendarYear,12,1),(WeekStart="L")+1)+15</f>
        <v>44179</v>
      </c>
      <c r="C61" s="54">
        <v>44180</v>
      </c>
      <c r="D61" s="54">
        <v>44181</v>
      </c>
      <c r="E61" s="54">
        <v>44182</v>
      </c>
      <c r="F61" s="54">
        <v>44183</v>
      </c>
      <c r="G61" s="54">
        <v>44184</v>
      </c>
      <c r="H61" s="66">
        <v>44185</v>
      </c>
      <c r="J61" s="65">
        <f t="array" ref="J61:P61">DaysAndWeeks+DATE(CalendarYear,12,1)-WEEKDAY(DATE(CalendarYear,12,1),(WeekStart="L")+1)+15</f>
        <v>44179</v>
      </c>
      <c r="K61" s="54">
        <v>44180</v>
      </c>
      <c r="L61" s="54">
        <v>44181</v>
      </c>
      <c r="M61" s="54">
        <v>44182</v>
      </c>
      <c r="N61" s="54">
        <v>44183</v>
      </c>
      <c r="O61" s="54">
        <v>44184</v>
      </c>
      <c r="P61" s="66">
        <v>44185</v>
      </c>
    </row>
    <row r="62" spans="2:16">
      <c r="J62" s="108"/>
      <c r="K62" s="103"/>
      <c r="L62" s="103"/>
      <c r="M62" s="103"/>
      <c r="N62" s="103"/>
      <c r="O62" s="103"/>
      <c r="P62" s="104"/>
    </row>
    <row r="63" spans="2:16" ht="14">
      <c r="B63" s="69">
        <f t="array" ref="B63:H63">DaysAndWeeks+DATE(CalendarYear,12,1)-WEEKDAY(DATE(CalendarYear,12,1),(WeekStart="L")+1)+22</f>
        <v>44186</v>
      </c>
      <c r="C63" s="54">
        <v>44187</v>
      </c>
      <c r="D63" s="54">
        <v>44188</v>
      </c>
      <c r="E63" s="54">
        <v>44189</v>
      </c>
      <c r="F63" s="54">
        <v>44190</v>
      </c>
      <c r="G63" s="54">
        <v>44191</v>
      </c>
      <c r="H63" s="66">
        <v>44192</v>
      </c>
      <c r="J63" s="69">
        <f t="array" ref="J63:P63">DaysAndWeeks+DATE(CalendarYear,12,1)-WEEKDAY(DATE(CalendarYear,12,1),(WeekStart="L")+1)+22</f>
        <v>44186</v>
      </c>
      <c r="K63" s="54">
        <v>44187</v>
      </c>
      <c r="L63" s="54">
        <v>44188</v>
      </c>
      <c r="M63" s="54">
        <v>44189</v>
      </c>
      <c r="N63" s="54">
        <v>44190</v>
      </c>
      <c r="O63" s="54">
        <v>44191</v>
      </c>
      <c r="P63" s="66">
        <v>44192</v>
      </c>
    </row>
    <row r="64" spans="2:16">
      <c r="B64" s="70"/>
      <c r="C64" s="55"/>
      <c r="D64" s="55"/>
      <c r="E64" s="55"/>
      <c r="F64" s="55"/>
      <c r="G64" s="55"/>
      <c r="H64" s="68"/>
      <c r="J64" s="70"/>
      <c r="K64" s="55"/>
      <c r="L64" s="55"/>
      <c r="M64" s="55"/>
      <c r="N64" s="55"/>
      <c r="O64" s="55"/>
      <c r="P64" s="68"/>
    </row>
    <row r="65" spans="2:16" ht="14">
      <c r="B65" s="65">
        <f t="array" ref="B65:H65">DaysAndWeeks+DATE(CalendarYear,12,1)-WEEKDAY(DATE(CalendarYear,12,1),(WeekStart="L")+1)+29</f>
        <v>44193</v>
      </c>
      <c r="C65" s="54">
        <v>44194</v>
      </c>
      <c r="D65" s="54">
        <v>44195</v>
      </c>
      <c r="E65" s="54">
        <v>44196</v>
      </c>
      <c r="F65" s="54">
        <v>44197</v>
      </c>
      <c r="G65" s="54">
        <v>44198</v>
      </c>
      <c r="H65" s="66">
        <v>44199</v>
      </c>
      <c r="J65" s="65">
        <f t="array" ref="J65:P65">DaysAndWeeks+DATE(CalendarYear,12,1)-WEEKDAY(DATE(CalendarYear,12,1),(WeekStart="L")+1)+29</f>
        <v>44193</v>
      </c>
      <c r="K65" s="54">
        <v>44194</v>
      </c>
      <c r="L65" s="54">
        <v>44195</v>
      </c>
      <c r="M65" s="54">
        <v>44196</v>
      </c>
      <c r="N65" s="54">
        <v>44197</v>
      </c>
      <c r="O65" s="54">
        <v>44198</v>
      </c>
      <c r="P65" s="66">
        <v>44199</v>
      </c>
    </row>
    <row r="66" spans="2:16">
      <c r="B66" s="67"/>
      <c r="C66" s="55"/>
      <c r="D66" s="55"/>
      <c r="E66" s="55"/>
      <c r="F66" s="55"/>
      <c r="G66" s="55"/>
      <c r="H66" s="68"/>
      <c r="J66" s="67"/>
      <c r="K66" s="55"/>
      <c r="L66" s="55"/>
      <c r="M66" s="55"/>
      <c r="N66" s="55"/>
      <c r="O66" s="55"/>
      <c r="P66" s="68"/>
    </row>
    <row r="67" spans="2:16" ht="14">
      <c r="B67" s="65">
        <f t="array" ref="B67:H67">DaysAndWeeks+DATE(CalendarYear,12,1)-WEEKDAY(DATE(CalendarYear,12,1),(WeekStart="L")+1)+36</f>
        <v>44200</v>
      </c>
      <c r="C67" s="54">
        <v>44201</v>
      </c>
      <c r="D67" s="54">
        <v>44202</v>
      </c>
      <c r="E67" s="54">
        <v>44203</v>
      </c>
      <c r="F67" s="54">
        <v>44204</v>
      </c>
      <c r="G67" s="54">
        <v>44205</v>
      </c>
      <c r="H67" s="66">
        <v>44206</v>
      </c>
      <c r="J67" s="65">
        <f t="array" ref="J67:P67">DaysAndWeeks+DATE(CalendarYear,12,1)-WEEKDAY(DATE(CalendarYear,12,1),(WeekStart="L")+1)+36</f>
        <v>44200</v>
      </c>
      <c r="K67" s="54">
        <v>44201</v>
      </c>
      <c r="L67" s="54">
        <v>44202</v>
      </c>
      <c r="M67" s="54">
        <v>44203</v>
      </c>
      <c r="N67" s="54">
        <v>44204</v>
      </c>
      <c r="O67" s="54">
        <v>44205</v>
      </c>
      <c r="P67" s="66">
        <v>44206</v>
      </c>
    </row>
    <row r="68" spans="2:16">
      <c r="B68" s="71"/>
      <c r="C68" s="72"/>
      <c r="D68" s="72"/>
      <c r="E68" s="72"/>
      <c r="F68" s="72"/>
      <c r="G68" s="72"/>
      <c r="H68" s="73"/>
      <c r="J68" s="71"/>
      <c r="K68" s="72"/>
      <c r="L68" s="72"/>
      <c r="M68" s="72"/>
      <c r="N68" s="72"/>
      <c r="O68" s="72"/>
      <c r="P68" s="73"/>
    </row>
    <row r="71" spans="2:16" ht="43">
      <c r="B71" s="105" t="s">
        <v>1</v>
      </c>
      <c r="C71" s="107"/>
      <c r="D71" s="107"/>
      <c r="E71" s="107"/>
      <c r="F71" s="60"/>
      <c r="G71" s="61"/>
      <c r="H71" s="62"/>
    </row>
    <row r="72" spans="2:16" ht="14">
      <c r="B72" s="63" t="str">
        <f>WeekStart</f>
        <v>L</v>
      </c>
      <c r="C72" s="53" t="str">
        <f t="shared" ref="C72:H72" si="5">UPPER(LEFT(TEXT(C73,"ddd"),1))</f>
        <v>M</v>
      </c>
      <c r="D72" s="53" t="str">
        <f t="shared" si="5"/>
        <v>M</v>
      </c>
      <c r="E72" s="53" t="str">
        <f t="shared" si="5"/>
        <v>J</v>
      </c>
      <c r="F72" s="53" t="str">
        <f t="shared" si="5"/>
        <v>V</v>
      </c>
      <c r="G72" s="53" t="str">
        <f t="shared" si="5"/>
        <v>S</v>
      </c>
      <c r="H72" s="64" t="str">
        <f t="shared" si="5"/>
        <v>D</v>
      </c>
    </row>
    <row r="73" spans="2:16" ht="14">
      <c r="B73" s="65">
        <f t="array" ref="B73:H73">DaysAndWeeks+DATE(CalendarYear,12,1)-WEEKDAY(DATE(CalendarYear,12,1),(WeekStart="L")+1)+1</f>
        <v>44165</v>
      </c>
      <c r="C73" s="54">
        <v>44166</v>
      </c>
      <c r="D73" s="54">
        <v>44167</v>
      </c>
      <c r="E73" s="54">
        <v>44168</v>
      </c>
      <c r="F73" s="54">
        <v>44169</v>
      </c>
      <c r="G73" s="54">
        <v>44170</v>
      </c>
      <c r="H73" s="66">
        <v>44171</v>
      </c>
    </row>
    <row r="74" spans="2:16">
      <c r="B74" s="108"/>
      <c r="C74" s="103"/>
      <c r="D74" s="103"/>
      <c r="E74" s="103"/>
      <c r="F74" s="103"/>
      <c r="G74" s="103"/>
      <c r="H74" s="104"/>
    </row>
    <row r="75" spans="2:16" ht="14">
      <c r="B75" s="65">
        <f t="array" ref="B75:H75">DaysAndWeeks+DATE(CalendarYear,12,1)-WEEKDAY(DATE(CalendarYear,12,1),(WeekStart="L")+1)+8</f>
        <v>44172</v>
      </c>
      <c r="C75" s="54">
        <v>44173</v>
      </c>
      <c r="D75" s="54">
        <v>44174</v>
      </c>
      <c r="E75" s="54">
        <v>44175</v>
      </c>
      <c r="F75" s="54">
        <v>44176</v>
      </c>
      <c r="G75" s="54">
        <v>44177</v>
      </c>
      <c r="H75" s="66">
        <v>44178</v>
      </c>
    </row>
    <row r="76" spans="2:16">
      <c r="B76" s="67"/>
      <c r="C76" s="55"/>
      <c r="D76" s="55"/>
      <c r="E76" s="55"/>
      <c r="F76" s="55"/>
      <c r="G76" s="55"/>
      <c r="H76" s="68"/>
    </row>
    <row r="77" spans="2:16" ht="14">
      <c r="B77" s="65">
        <f t="array" ref="B77:H77">DaysAndWeeks+DATE(CalendarYear,12,1)-WEEKDAY(DATE(CalendarYear,12,1),(WeekStart="L")+1)+15</f>
        <v>44179</v>
      </c>
      <c r="C77" s="54">
        <v>44180</v>
      </c>
      <c r="D77" s="54">
        <v>44181</v>
      </c>
      <c r="E77" s="54">
        <v>44182</v>
      </c>
      <c r="F77" s="54">
        <v>44183</v>
      </c>
      <c r="G77" s="54">
        <v>44184</v>
      </c>
      <c r="H77" s="66">
        <v>44185</v>
      </c>
    </row>
    <row r="78" spans="2:16">
      <c r="B78" s="108" t="s">
        <v>54</v>
      </c>
      <c r="C78" s="103"/>
      <c r="D78" s="103"/>
      <c r="E78" s="103"/>
      <c r="F78" s="103"/>
      <c r="G78" s="103"/>
      <c r="H78" s="104"/>
    </row>
    <row r="79" spans="2:16" ht="14">
      <c r="B79" s="69">
        <f t="array" ref="B79:H79">DaysAndWeeks+DATE(CalendarYear,12,1)-WEEKDAY(DATE(CalendarYear,12,1),(WeekStart="L")+1)+22</f>
        <v>44186</v>
      </c>
      <c r="C79" s="54">
        <v>44187</v>
      </c>
      <c r="D79" s="54">
        <v>44188</v>
      </c>
      <c r="E79" s="54">
        <v>44189</v>
      </c>
      <c r="F79" s="54">
        <v>44190</v>
      </c>
      <c r="G79" s="54">
        <v>44191</v>
      </c>
      <c r="H79" s="66">
        <v>44192</v>
      </c>
    </row>
    <row r="80" spans="2:16">
      <c r="B80" s="70"/>
      <c r="C80" s="55"/>
      <c r="D80" s="55"/>
      <c r="E80" s="55"/>
      <c r="F80" s="55"/>
      <c r="G80" s="55"/>
      <c r="H80" s="68"/>
    </row>
    <row r="81" spans="2:8" ht="14">
      <c r="B81" s="65">
        <f t="array" ref="B81:H81">DaysAndWeeks+DATE(CalendarYear,12,1)-WEEKDAY(DATE(CalendarYear,12,1),(WeekStart="L")+1)+29</f>
        <v>44193</v>
      </c>
      <c r="C81" s="54">
        <v>44194</v>
      </c>
      <c r="D81" s="54">
        <v>44195</v>
      </c>
      <c r="E81" s="54">
        <v>44196</v>
      </c>
      <c r="F81" s="54">
        <v>44197</v>
      </c>
      <c r="G81" s="54">
        <v>44198</v>
      </c>
      <c r="H81" s="66">
        <v>44199</v>
      </c>
    </row>
    <row r="82" spans="2:8">
      <c r="B82" s="67"/>
      <c r="C82" s="55"/>
      <c r="D82" s="55"/>
      <c r="E82" s="55"/>
      <c r="F82" s="55"/>
      <c r="G82" s="55"/>
      <c r="H82" s="68"/>
    </row>
    <row r="83" spans="2:8" ht="14">
      <c r="B83" s="65">
        <f t="array" ref="B83:H83">DaysAndWeeks+DATE(CalendarYear,12,1)-WEEKDAY(DATE(CalendarYear,12,1),(WeekStart="L")+1)+36</f>
        <v>44200</v>
      </c>
      <c r="C83" s="54">
        <v>44201</v>
      </c>
      <c r="D83" s="54">
        <v>44202</v>
      </c>
      <c r="E83" s="54">
        <v>44203</v>
      </c>
      <c r="F83" s="54">
        <v>44204</v>
      </c>
      <c r="G83" s="54">
        <v>44205</v>
      </c>
      <c r="H83" s="66">
        <v>44206</v>
      </c>
    </row>
    <row r="84" spans="2:8">
      <c r="B84" s="71"/>
      <c r="C84" s="72"/>
      <c r="D84" s="72"/>
      <c r="E84" s="72"/>
      <c r="F84" s="72"/>
      <c r="G84" s="72"/>
      <c r="H84" s="73"/>
    </row>
  </sheetData>
  <mergeCells count="20">
    <mergeCell ref="B71:E71"/>
    <mergeCell ref="B74:H74"/>
    <mergeCell ref="B78:H78"/>
    <mergeCell ref="B55:E55"/>
    <mergeCell ref="B58:H58"/>
    <mergeCell ref="B60:H60"/>
    <mergeCell ref="J55:M55"/>
    <mergeCell ref="J58:P58"/>
    <mergeCell ref="J62:P62"/>
    <mergeCell ref="B12:L12"/>
    <mergeCell ref="B23:E23"/>
    <mergeCell ref="J23:M23"/>
    <mergeCell ref="J32:P32"/>
    <mergeCell ref="B42:H42"/>
    <mergeCell ref="J27:P27"/>
    <mergeCell ref="B28:H28"/>
    <mergeCell ref="B30:H30"/>
    <mergeCell ref="J34:P34"/>
    <mergeCell ref="B39:E39"/>
    <mergeCell ref="B46:H46"/>
  </mergeCells>
  <conditionalFormatting sqref="B25:G25">
    <cfRule type="expression" dxfId="32" priority="17">
      <formula>DAY(B25)&gt;8</formula>
    </cfRule>
  </conditionalFormatting>
  <conditionalFormatting sqref="B33:H33 B35:H36 E34:H34">
    <cfRule type="expression" dxfId="31" priority="16">
      <formula>AND(DAY(B33)&gt;=1,DAY(B33)&lt;=15)</formula>
    </cfRule>
  </conditionalFormatting>
  <conditionalFormatting sqref="J25:O25">
    <cfRule type="expression" dxfId="30" priority="15">
      <formula>DAY(J25)&gt;8</formula>
    </cfRule>
  </conditionalFormatting>
  <conditionalFormatting sqref="J33:P33 J35:P36">
    <cfRule type="expression" dxfId="29" priority="14">
      <formula>AND(DAY(J33)&gt;=1,DAY(J33)&lt;=15)</formula>
    </cfRule>
  </conditionalFormatting>
  <conditionalFormatting sqref="B41:G41">
    <cfRule type="expression" dxfId="26" priority="9">
      <formula>DAY(B41)&gt;8</formula>
    </cfRule>
  </conditionalFormatting>
  <conditionalFormatting sqref="B49:H52">
    <cfRule type="expression" dxfId="25" priority="8">
      <formula>AND(DAY(B49)&gt;=1,DAY(B49)&lt;=15)</formula>
    </cfRule>
  </conditionalFormatting>
  <conditionalFormatting sqref="B34:D34">
    <cfRule type="expression" dxfId="24" priority="7">
      <formula>AND(DAY(B34)&gt;=1,DAY(B34)&lt;=15)</formula>
    </cfRule>
  </conditionalFormatting>
  <conditionalFormatting sqref="B57:G57">
    <cfRule type="expression" dxfId="23" priority="6">
      <formula>DAY(B57)&gt;8</formula>
    </cfRule>
  </conditionalFormatting>
  <conditionalFormatting sqref="B65:H68">
    <cfRule type="expression" dxfId="22" priority="5">
      <formula>AND(DAY(B65)&gt;=1,DAY(B65)&lt;=15)</formula>
    </cfRule>
  </conditionalFormatting>
  <conditionalFormatting sqref="J57:O57">
    <cfRule type="expression" dxfId="21" priority="4">
      <formula>DAY(J57)&gt;8</formula>
    </cfRule>
  </conditionalFormatting>
  <conditionalFormatting sqref="J65:P68">
    <cfRule type="expression" dxfId="20" priority="3">
      <formula>AND(DAY(J65)&gt;=1,DAY(J65)&lt;=15)</formula>
    </cfRule>
  </conditionalFormatting>
  <conditionalFormatting sqref="B73:G73">
    <cfRule type="expression" dxfId="19" priority="2">
      <formula>DAY(B73)&gt;8</formula>
    </cfRule>
  </conditionalFormatting>
  <conditionalFormatting sqref="B81:H84">
    <cfRule type="expression" dxfId="18" priority="1">
      <formula>AND(DAY(B81)&gt;=1,DAY(B81)&lt;=15)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C1:R116"/>
  <sheetViews>
    <sheetView topLeftCell="A4" zoomScale="70" zoomScaleNormal="70" zoomScalePageLayoutView="70" workbookViewId="0">
      <selection activeCell="F16" sqref="F16"/>
    </sheetView>
  </sheetViews>
  <sheetFormatPr baseColWidth="10" defaultColWidth="7.83203125" defaultRowHeight="11"/>
  <cols>
    <col min="1" max="1" width="7.83203125" style="14"/>
    <col min="2" max="2" width="4.5" style="14" customWidth="1"/>
    <col min="3" max="3" width="43.1640625" style="14" customWidth="1"/>
    <col min="4" max="4" width="29.6640625" style="14" customWidth="1"/>
    <col min="5" max="5" width="20.5" style="14" customWidth="1"/>
    <col min="6" max="6" width="54.83203125" style="14" customWidth="1"/>
    <col min="7" max="7" width="21.1640625" style="14" customWidth="1"/>
    <col min="8" max="9" width="10.33203125" style="14" customWidth="1"/>
    <col min="10" max="10" width="4.83203125" style="87" customWidth="1"/>
    <col min="11" max="11" width="7.83203125" style="14"/>
    <col min="12" max="12" width="29" style="14" customWidth="1"/>
    <col min="13" max="16384" width="7.83203125" style="14"/>
  </cols>
  <sheetData>
    <row r="1" spans="3:18" s="21" customFormat="1">
      <c r="J1" s="87"/>
    </row>
    <row r="2" spans="3:18" s="21" customFormat="1">
      <c r="J2" s="87"/>
    </row>
    <row r="3" spans="3:18" s="21" customFormat="1">
      <c r="J3" s="87"/>
    </row>
    <row r="4" spans="3:18" s="21" customFormat="1">
      <c r="J4" s="87"/>
    </row>
    <row r="5" spans="3:18" s="21" customFormat="1" ht="12.75" customHeight="1">
      <c r="C5" s="19"/>
      <c r="D5" s="20"/>
      <c r="E5" s="20"/>
      <c r="F5" s="20"/>
      <c r="G5" s="20"/>
      <c r="H5" s="20"/>
      <c r="I5" s="20"/>
      <c r="J5" s="88"/>
    </row>
    <row r="6" spans="3:18" s="21" customFormat="1" ht="15.75" customHeight="1">
      <c r="C6" s="19"/>
      <c r="D6" s="19"/>
      <c r="E6" s="19"/>
      <c r="F6" s="20"/>
      <c r="G6" s="20"/>
      <c r="H6" s="20"/>
      <c r="J6" s="87"/>
    </row>
    <row r="7" spans="3:18" s="21" customFormat="1" ht="16.5" customHeight="1">
      <c r="C7" s="20"/>
      <c r="D7" s="20"/>
      <c r="E7" s="20"/>
      <c r="F7" s="20"/>
      <c r="G7" s="20"/>
      <c r="H7" s="22"/>
      <c r="I7" s="23"/>
      <c r="J7" s="88"/>
    </row>
    <row r="8" spans="3:18" s="21" customFormat="1" ht="27.75" customHeight="1">
      <c r="C8" s="115"/>
      <c r="D8" s="115"/>
      <c r="F8" s="20"/>
      <c r="G8" s="20"/>
      <c r="H8" s="20"/>
      <c r="I8" s="24"/>
      <c r="J8" s="88"/>
    </row>
    <row r="9" spans="3:18" s="21" customFormat="1" ht="44.25" customHeight="1">
      <c r="C9" s="116" t="s">
        <v>44</v>
      </c>
      <c r="D9" s="116"/>
      <c r="E9" s="116"/>
      <c r="F9" s="116"/>
      <c r="G9" s="25"/>
      <c r="J9" s="87"/>
    </row>
    <row r="10" spans="3:18" s="28" customFormat="1" ht="18.75" customHeight="1">
      <c r="C10" s="29" t="str">
        <f>WeekStart</f>
        <v>L</v>
      </c>
      <c r="D10" s="29" t="str">
        <f t="shared" ref="D10:I10" si="0">UPPER(LEFT(TEXT(D11,"ddd"),1))</f>
        <v>M</v>
      </c>
      <c r="E10" s="29" t="str">
        <f t="shared" si="0"/>
        <v>M</v>
      </c>
      <c r="F10" s="29" t="str">
        <f t="shared" si="0"/>
        <v>J</v>
      </c>
      <c r="G10" s="29" t="str">
        <f t="shared" si="0"/>
        <v>V</v>
      </c>
      <c r="H10" s="30" t="str">
        <f t="shared" si="0"/>
        <v>S</v>
      </c>
      <c r="I10" s="30" t="str">
        <f t="shared" si="0"/>
        <v>D</v>
      </c>
      <c r="J10" s="89"/>
    </row>
    <row r="11" spans="3:18" ht="16.5" customHeight="1">
      <c r="C11" s="15">
        <f t="array" ref="C11:I11">DaysAndWeeks+DATE(CalendarYear,9,1)-WEEKDAY(DATE(CalendarYear,9,1),(WeekStart="L")+1)+1</f>
        <v>44074</v>
      </c>
      <c r="D11" s="15">
        <v>44075</v>
      </c>
      <c r="E11" s="15">
        <v>44076</v>
      </c>
      <c r="F11" s="15">
        <v>44077</v>
      </c>
      <c r="G11" s="15">
        <v>44078</v>
      </c>
      <c r="H11" s="16">
        <v>44079</v>
      </c>
      <c r="I11" s="16">
        <v>44080</v>
      </c>
    </row>
    <row r="12" spans="3:18" ht="39.75" customHeight="1">
      <c r="C12" s="17"/>
      <c r="D12" s="17"/>
      <c r="E12" s="17"/>
      <c r="G12" s="17"/>
      <c r="H12" s="17"/>
      <c r="I12" s="17"/>
    </row>
    <row r="13" spans="3:18" ht="15" customHeight="1">
      <c r="C13" s="15">
        <f t="array" ref="C13:I13">DaysAndWeeks+DATE(CalendarYear,9,1)-WEEKDAY(DATE(CalendarYear,9,1),(WeekStart="L")+1)+8</f>
        <v>44081</v>
      </c>
      <c r="D13" s="15">
        <v>44082</v>
      </c>
      <c r="E13" s="15">
        <v>44083</v>
      </c>
      <c r="F13" s="15">
        <v>44084</v>
      </c>
      <c r="G13" s="15">
        <v>44085</v>
      </c>
      <c r="H13" s="16">
        <v>44086</v>
      </c>
      <c r="I13" s="16">
        <v>44087</v>
      </c>
    </row>
    <row r="14" spans="3:18" ht="247" customHeight="1">
      <c r="C14" s="17"/>
      <c r="D14" s="17"/>
      <c r="E14" s="17"/>
      <c r="F14" s="135" t="s">
        <v>56</v>
      </c>
      <c r="G14" s="17"/>
      <c r="H14" s="17"/>
      <c r="I14" s="17"/>
      <c r="M14" s="90"/>
      <c r="N14" s="90"/>
      <c r="O14" s="90"/>
      <c r="P14" s="90"/>
      <c r="Q14" s="90"/>
      <c r="R14" s="91"/>
    </row>
    <row r="15" spans="3:18" ht="15" customHeight="1">
      <c r="C15" s="15">
        <f t="array" ref="C15:I15">DaysAndWeeks+DATE(CalendarYear,9,1)-WEEKDAY(DATE(CalendarYear,9,1),(WeekStart="L")+1)+15</f>
        <v>44088</v>
      </c>
      <c r="D15" s="15">
        <v>44089</v>
      </c>
      <c r="E15" s="15">
        <v>44090</v>
      </c>
      <c r="F15" s="15">
        <v>44091</v>
      </c>
      <c r="G15" s="15">
        <v>44092</v>
      </c>
      <c r="H15" s="16">
        <v>44093</v>
      </c>
      <c r="I15" s="16">
        <v>44094</v>
      </c>
    </row>
    <row r="16" spans="3:18" ht="239" customHeight="1">
      <c r="C16" s="17"/>
      <c r="D16" s="17"/>
      <c r="F16" s="17"/>
      <c r="G16" s="17"/>
      <c r="H16" s="17"/>
      <c r="I16" s="17"/>
    </row>
    <row r="17" spans="3:10" ht="15" customHeight="1">
      <c r="C17" s="15">
        <f t="array" ref="C17:I17">DaysAndWeeks+DATE(CalendarYear,9,1)-WEEKDAY(DATE(CalendarYear,9,1),(WeekStart="L")+1)+22</f>
        <v>44095</v>
      </c>
      <c r="D17" s="15">
        <v>44096</v>
      </c>
      <c r="E17" s="15">
        <v>44097</v>
      </c>
      <c r="F17" s="15">
        <v>44098</v>
      </c>
      <c r="G17" s="15">
        <v>44099</v>
      </c>
      <c r="H17" s="16">
        <v>44100</v>
      </c>
      <c r="I17" s="16">
        <v>44101</v>
      </c>
    </row>
    <row r="18" spans="3:10" ht="40.5" customHeight="1">
      <c r="C18" s="17"/>
      <c r="D18" s="17"/>
      <c r="E18" s="17"/>
      <c r="F18" s="17"/>
      <c r="G18" s="17"/>
      <c r="H18" s="17"/>
      <c r="I18" s="17"/>
    </row>
    <row r="19" spans="3:10" ht="15" customHeight="1">
      <c r="C19" s="15">
        <f t="array" ref="C19:I19">DaysAndWeeks+DATE(CalendarYear,9,1)-WEEKDAY(DATE(CalendarYear,9,1),(WeekStart="L")+1)+29</f>
        <v>44102</v>
      </c>
      <c r="D19" s="15">
        <v>44103</v>
      </c>
      <c r="E19" s="15">
        <v>44104</v>
      </c>
      <c r="F19" s="15">
        <v>44105</v>
      </c>
      <c r="G19" s="15">
        <v>44106</v>
      </c>
      <c r="H19" s="15">
        <v>44107</v>
      </c>
      <c r="I19" s="15">
        <v>44108</v>
      </c>
    </row>
    <row r="20" spans="3:10" ht="81" customHeight="1">
      <c r="C20" s="17"/>
      <c r="D20" s="17"/>
      <c r="E20" s="17"/>
      <c r="F20" s="17"/>
      <c r="G20" s="17"/>
      <c r="H20" s="17"/>
      <c r="I20" s="17"/>
    </row>
    <row r="21" spans="3:10" ht="15" customHeight="1">
      <c r="C21" s="15">
        <f t="array" ref="C21:I21">DaysAndWeeks+DATE(CalendarYear,9,1)-WEEKDAY(DATE(CalendarYear,9,1),(WeekStart="L")+1)+36</f>
        <v>44109</v>
      </c>
      <c r="D21" s="15">
        <v>44110</v>
      </c>
      <c r="E21" s="15">
        <v>44111</v>
      </c>
      <c r="F21" s="15">
        <v>44112</v>
      </c>
      <c r="G21" s="15">
        <v>44113</v>
      </c>
      <c r="H21" s="15">
        <v>44114</v>
      </c>
      <c r="I21" s="15">
        <v>44115</v>
      </c>
    </row>
    <row r="22" spans="3:10" ht="39.75" customHeight="1">
      <c r="C22" s="18"/>
      <c r="D22" s="18"/>
      <c r="E22" s="18"/>
      <c r="F22" s="18"/>
      <c r="G22" s="18"/>
      <c r="H22" s="18"/>
      <c r="I22" s="17"/>
    </row>
    <row r="23" spans="3:10" s="21" customFormat="1" ht="14.25" customHeight="1">
      <c r="C23" s="27"/>
      <c r="D23" s="27"/>
      <c r="E23" s="27"/>
      <c r="F23" s="27"/>
      <c r="G23" s="27"/>
      <c r="H23" s="27"/>
      <c r="I23" s="27"/>
      <c r="J23" s="87"/>
    </row>
    <row r="24" spans="3:10" s="21" customFormat="1">
      <c r="J24" s="87"/>
    </row>
    <row r="25" spans="3:10" s="21" customFormat="1">
      <c r="J25" s="87"/>
    </row>
    <row r="26" spans="3:10" s="21" customFormat="1">
      <c r="J26" s="87"/>
    </row>
    <row r="27" spans="3:10" s="21" customFormat="1">
      <c r="J27" s="87"/>
    </row>
    <row r="28" spans="3:10" s="21" customFormat="1">
      <c r="J28" s="87"/>
    </row>
    <row r="29" spans="3:10" s="21" customFormat="1">
      <c r="J29" s="87"/>
    </row>
    <row r="30" spans="3:10" s="21" customFormat="1">
      <c r="J30" s="87"/>
    </row>
    <row r="31" spans="3:10" s="21" customFormat="1">
      <c r="J31" s="87"/>
    </row>
    <row r="32" spans="3:10" s="21" customFormat="1">
      <c r="J32" s="87"/>
    </row>
    <row r="33" spans="10:10" s="21" customFormat="1">
      <c r="J33" s="87"/>
    </row>
    <row r="34" spans="10:10" s="21" customFormat="1">
      <c r="J34" s="87"/>
    </row>
    <row r="35" spans="10:10" s="21" customFormat="1">
      <c r="J35" s="87"/>
    </row>
    <row r="36" spans="10:10" s="21" customFormat="1">
      <c r="J36" s="87"/>
    </row>
    <row r="37" spans="10:10" s="21" customFormat="1">
      <c r="J37" s="87"/>
    </row>
    <row r="38" spans="10:10" s="21" customFormat="1">
      <c r="J38" s="87"/>
    </row>
    <row r="39" spans="10:10" s="21" customFormat="1">
      <c r="J39" s="87"/>
    </row>
    <row r="40" spans="10:10" s="21" customFormat="1">
      <c r="J40" s="87"/>
    </row>
    <row r="41" spans="10:10" s="21" customFormat="1">
      <c r="J41" s="87"/>
    </row>
    <row r="42" spans="10:10" s="21" customFormat="1">
      <c r="J42" s="87"/>
    </row>
    <row r="43" spans="10:10" s="21" customFormat="1">
      <c r="J43" s="87"/>
    </row>
    <row r="44" spans="10:10" s="21" customFormat="1">
      <c r="J44" s="87"/>
    </row>
    <row r="45" spans="10:10" s="21" customFormat="1">
      <c r="J45" s="87"/>
    </row>
    <row r="46" spans="10:10" s="21" customFormat="1">
      <c r="J46" s="87"/>
    </row>
    <row r="47" spans="10:10" s="21" customFormat="1">
      <c r="J47" s="87"/>
    </row>
    <row r="48" spans="10:10" s="21" customFormat="1">
      <c r="J48" s="87"/>
    </row>
    <row r="49" spans="10:10" s="21" customFormat="1">
      <c r="J49" s="87"/>
    </row>
    <row r="50" spans="10:10" s="21" customFormat="1">
      <c r="J50" s="87"/>
    </row>
    <row r="51" spans="10:10" s="21" customFormat="1">
      <c r="J51" s="87"/>
    </row>
    <row r="52" spans="10:10" s="21" customFormat="1">
      <c r="J52" s="87"/>
    </row>
    <row r="53" spans="10:10" s="21" customFormat="1">
      <c r="J53" s="87"/>
    </row>
    <row r="54" spans="10:10" s="21" customFormat="1">
      <c r="J54" s="87"/>
    </row>
    <row r="55" spans="10:10" s="21" customFormat="1">
      <c r="J55" s="87"/>
    </row>
    <row r="56" spans="10:10" s="21" customFormat="1">
      <c r="J56" s="87"/>
    </row>
    <row r="57" spans="10:10" s="21" customFormat="1">
      <c r="J57" s="87"/>
    </row>
    <row r="58" spans="10:10" s="21" customFormat="1">
      <c r="J58" s="87"/>
    </row>
    <row r="59" spans="10:10" s="21" customFormat="1">
      <c r="J59" s="87"/>
    </row>
    <row r="60" spans="10:10" s="21" customFormat="1">
      <c r="J60" s="87"/>
    </row>
    <row r="61" spans="10:10" s="21" customFormat="1">
      <c r="J61" s="87"/>
    </row>
    <row r="62" spans="10:10" s="21" customFormat="1">
      <c r="J62" s="87"/>
    </row>
    <row r="63" spans="10:10" s="21" customFormat="1">
      <c r="J63" s="87"/>
    </row>
    <row r="64" spans="10:10" s="21" customFormat="1">
      <c r="J64" s="87"/>
    </row>
    <row r="65" spans="10:10" s="21" customFormat="1">
      <c r="J65" s="87"/>
    </row>
    <row r="66" spans="10:10" s="21" customFormat="1">
      <c r="J66" s="87"/>
    </row>
    <row r="67" spans="10:10" s="21" customFormat="1">
      <c r="J67" s="87"/>
    </row>
    <row r="68" spans="10:10" s="21" customFormat="1">
      <c r="J68" s="87"/>
    </row>
    <row r="69" spans="10:10" s="21" customFormat="1">
      <c r="J69" s="87"/>
    </row>
    <row r="70" spans="10:10" s="21" customFormat="1">
      <c r="J70" s="87"/>
    </row>
    <row r="71" spans="10:10" s="21" customFormat="1">
      <c r="J71" s="87"/>
    </row>
    <row r="72" spans="10:10" s="21" customFormat="1">
      <c r="J72" s="87"/>
    </row>
    <row r="73" spans="10:10" s="21" customFormat="1">
      <c r="J73" s="87"/>
    </row>
    <row r="74" spans="10:10" s="21" customFormat="1">
      <c r="J74" s="87"/>
    </row>
    <row r="75" spans="10:10" s="21" customFormat="1">
      <c r="J75" s="87"/>
    </row>
    <row r="76" spans="10:10" s="21" customFormat="1">
      <c r="J76" s="87"/>
    </row>
    <row r="77" spans="10:10" s="21" customFormat="1">
      <c r="J77" s="87"/>
    </row>
    <row r="78" spans="10:10" s="21" customFormat="1">
      <c r="J78" s="87"/>
    </row>
    <row r="79" spans="10:10" s="21" customFormat="1">
      <c r="J79" s="87"/>
    </row>
    <row r="80" spans="10:10" s="21" customFormat="1">
      <c r="J80" s="87"/>
    </row>
    <row r="81" spans="10:10" s="21" customFormat="1">
      <c r="J81" s="87"/>
    </row>
    <row r="82" spans="10:10" s="21" customFormat="1">
      <c r="J82" s="87"/>
    </row>
    <row r="83" spans="10:10" s="21" customFormat="1">
      <c r="J83" s="87"/>
    </row>
    <row r="84" spans="10:10" s="21" customFormat="1">
      <c r="J84" s="87"/>
    </row>
    <row r="85" spans="10:10" s="21" customFormat="1">
      <c r="J85" s="87"/>
    </row>
    <row r="86" spans="10:10" s="21" customFormat="1">
      <c r="J86" s="87"/>
    </row>
    <row r="87" spans="10:10" s="21" customFormat="1">
      <c r="J87" s="87"/>
    </row>
    <row r="88" spans="10:10" s="21" customFormat="1">
      <c r="J88" s="87"/>
    </row>
    <row r="89" spans="10:10" s="21" customFormat="1">
      <c r="J89" s="87"/>
    </row>
    <row r="90" spans="10:10" s="21" customFormat="1">
      <c r="J90" s="87"/>
    </row>
    <row r="91" spans="10:10" s="21" customFormat="1">
      <c r="J91" s="87"/>
    </row>
    <row r="92" spans="10:10" s="21" customFormat="1">
      <c r="J92" s="87"/>
    </row>
    <row r="93" spans="10:10" s="21" customFormat="1">
      <c r="J93" s="87"/>
    </row>
    <row r="94" spans="10:10" s="21" customFormat="1">
      <c r="J94" s="87"/>
    </row>
    <row r="95" spans="10:10" s="21" customFormat="1">
      <c r="J95" s="87"/>
    </row>
    <row r="96" spans="10:10" s="21" customFormat="1">
      <c r="J96" s="87"/>
    </row>
    <row r="97" spans="10:10" s="21" customFormat="1">
      <c r="J97" s="87"/>
    </row>
    <row r="98" spans="10:10" s="21" customFormat="1">
      <c r="J98" s="87"/>
    </row>
    <row r="99" spans="10:10" s="21" customFormat="1">
      <c r="J99" s="87"/>
    </row>
    <row r="100" spans="10:10" s="21" customFormat="1">
      <c r="J100" s="87"/>
    </row>
    <row r="101" spans="10:10" s="21" customFormat="1">
      <c r="J101" s="87"/>
    </row>
    <row r="102" spans="10:10" s="21" customFormat="1">
      <c r="J102" s="87"/>
    </row>
    <row r="103" spans="10:10" s="21" customFormat="1">
      <c r="J103" s="87"/>
    </row>
    <row r="104" spans="10:10" s="21" customFormat="1">
      <c r="J104" s="87"/>
    </row>
    <row r="105" spans="10:10" s="21" customFormat="1">
      <c r="J105" s="87"/>
    </row>
    <row r="106" spans="10:10" s="21" customFormat="1">
      <c r="J106" s="87"/>
    </row>
    <row r="107" spans="10:10" s="21" customFormat="1">
      <c r="J107" s="87"/>
    </row>
    <row r="108" spans="10:10" s="21" customFormat="1">
      <c r="J108" s="87"/>
    </row>
    <row r="109" spans="10:10" s="21" customFormat="1">
      <c r="J109" s="87"/>
    </row>
    <row r="110" spans="10:10" s="21" customFormat="1">
      <c r="J110" s="87"/>
    </row>
    <row r="111" spans="10:10" s="21" customFormat="1">
      <c r="J111" s="87"/>
    </row>
    <row r="112" spans="10:10" s="21" customFormat="1">
      <c r="J112" s="87"/>
    </row>
    <row r="113" spans="10:10" s="21" customFormat="1">
      <c r="J113" s="87"/>
    </row>
    <row r="114" spans="10:10" s="21" customFormat="1">
      <c r="J114" s="87"/>
    </row>
    <row r="115" spans="10:10" s="21" customFormat="1">
      <c r="J115" s="87"/>
    </row>
    <row r="116" spans="10:10" s="21" customFormat="1">
      <c r="J116" s="87"/>
    </row>
  </sheetData>
  <mergeCells count="2">
    <mergeCell ref="C8:D8"/>
    <mergeCell ref="C9:F9"/>
  </mergeCells>
  <conditionalFormatting sqref="C11:H11">
    <cfRule type="expression" dxfId="17" priority="3">
      <formula>DAY(C11)&gt;8</formula>
    </cfRule>
  </conditionalFormatting>
  <conditionalFormatting sqref="C19:I19 C21:I22 F14">
    <cfRule type="expression" dxfId="16" priority="2">
      <formula>AND(DAY(C14)&gt;=1,DAY(C14)&lt;=15)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ACC"/>
  </sheetPr>
  <dimension ref="C1:M48"/>
  <sheetViews>
    <sheetView topLeftCell="A10" zoomScale="90" zoomScaleNormal="90" zoomScalePageLayoutView="90" workbookViewId="0">
      <selection activeCell="F20" sqref="F20"/>
    </sheetView>
  </sheetViews>
  <sheetFormatPr baseColWidth="10" defaultColWidth="7.83203125" defaultRowHeight="11"/>
  <cols>
    <col min="1" max="1" width="7.83203125" style="14"/>
    <col min="2" max="2" width="4.5" style="14" customWidth="1"/>
    <col min="3" max="3" width="21" style="14" customWidth="1"/>
    <col min="4" max="4" width="30.5" style="14" customWidth="1"/>
    <col min="5" max="5" width="24.5" style="14" customWidth="1"/>
    <col min="6" max="6" width="42.33203125" style="14" customWidth="1"/>
    <col min="7" max="7" width="23" style="14" customWidth="1"/>
    <col min="8" max="8" width="11.1640625" style="14" customWidth="1"/>
    <col min="9" max="9" width="10.33203125" style="14" customWidth="1"/>
    <col min="10" max="10" width="4.5" style="21" customWidth="1"/>
    <col min="11" max="12" width="7.83203125" style="21"/>
    <col min="13" max="13" width="25.6640625" style="21" customWidth="1"/>
    <col min="14" max="16384" width="7.83203125" style="14"/>
  </cols>
  <sheetData>
    <row r="1" spans="3:13" s="21" customFormat="1"/>
    <row r="2" spans="3:13" s="21" customFormat="1"/>
    <row r="3" spans="3:13" s="21" customFormat="1"/>
    <row r="4" spans="3:13" s="21" customFormat="1"/>
    <row r="5" spans="3:13" s="21" customFormat="1" ht="12.75" customHeight="1">
      <c r="C5" s="19"/>
      <c r="D5" s="20"/>
      <c r="E5" s="20"/>
      <c r="F5" s="20"/>
      <c r="G5" s="20"/>
      <c r="H5" s="20"/>
      <c r="I5" s="20"/>
      <c r="J5" s="20"/>
    </row>
    <row r="6" spans="3:13" s="21" customFormat="1" ht="15.75" customHeight="1">
      <c r="C6" s="19"/>
      <c r="D6" s="19"/>
      <c r="E6" s="19"/>
      <c r="F6" s="20"/>
      <c r="G6" s="20"/>
      <c r="H6" s="20"/>
    </row>
    <row r="7" spans="3:13" s="21" customFormat="1" ht="16.5" customHeight="1">
      <c r="C7" s="20"/>
      <c r="D7" s="20"/>
      <c r="E7" s="20"/>
      <c r="F7" s="20"/>
      <c r="G7" s="20"/>
      <c r="H7" s="22"/>
      <c r="I7" s="23"/>
      <c r="J7" s="20"/>
    </row>
    <row r="8" spans="3:13" s="21" customFormat="1" ht="27.75" customHeight="1">
      <c r="C8" s="115"/>
      <c r="D8" s="115"/>
      <c r="F8" s="20"/>
      <c r="G8" s="20"/>
      <c r="H8" s="20"/>
      <c r="I8" s="24"/>
      <c r="J8" s="20"/>
      <c r="M8" s="43"/>
    </row>
    <row r="9" spans="3:13" s="21" customFormat="1" ht="44.25" customHeight="1">
      <c r="C9" s="117" t="s">
        <v>48</v>
      </c>
      <c r="D9" s="118"/>
      <c r="E9" s="118"/>
      <c r="F9" s="118"/>
      <c r="G9" s="25"/>
      <c r="M9" s="43"/>
    </row>
    <row r="10" spans="3:13" s="21" customFormat="1" ht="18.75" customHeight="1">
      <c r="C10" s="29" t="str">
        <f>WeekStart</f>
        <v>L</v>
      </c>
      <c r="D10" s="29" t="str">
        <f t="shared" ref="D10:I10" si="0">UPPER(LEFT(TEXT(D11,"ddd"),1))</f>
        <v>M</v>
      </c>
      <c r="E10" s="29" t="str">
        <f t="shared" si="0"/>
        <v>M</v>
      </c>
      <c r="F10" s="29" t="str">
        <f t="shared" si="0"/>
        <v>J</v>
      </c>
      <c r="G10" s="29" t="str">
        <f t="shared" si="0"/>
        <v>V</v>
      </c>
      <c r="H10" s="30" t="str">
        <f t="shared" si="0"/>
        <v>S</v>
      </c>
      <c r="I10" s="30" t="str">
        <f t="shared" si="0"/>
        <v>D</v>
      </c>
    </row>
    <row r="11" spans="3:13" ht="16.5" customHeight="1">
      <c r="C11" s="15">
        <f t="array" ref="C11:I11">DaysAndWeeks+DATE(CalendarYear,10,1)-WEEKDAY(DATE(CalendarYear,10,1),(WeekStart="L")+1)+1</f>
        <v>44102</v>
      </c>
      <c r="D11" s="15">
        <v>44103</v>
      </c>
      <c r="E11" s="15">
        <v>44104</v>
      </c>
      <c r="F11" s="15">
        <v>44105</v>
      </c>
      <c r="G11" s="15">
        <v>44106</v>
      </c>
      <c r="H11" s="16">
        <v>44107</v>
      </c>
      <c r="I11" s="16">
        <v>44108</v>
      </c>
    </row>
    <row r="12" spans="3:13" ht="39.75" customHeight="1">
      <c r="C12" s="17"/>
      <c r="D12" s="17"/>
      <c r="E12" s="17"/>
      <c r="G12" s="17"/>
      <c r="H12" s="17"/>
      <c r="I12" s="17"/>
    </row>
    <row r="13" spans="3:13" ht="15" customHeight="1">
      <c r="C13" s="15">
        <f t="array" ref="C13:I13">DaysAndWeeks+DATE(CalendarYear,10,1)-WEEKDAY(DATE(CalendarYear,10,1),(WeekStart="L")+1)+8</f>
        <v>44109</v>
      </c>
      <c r="D13" s="15">
        <v>44110</v>
      </c>
      <c r="E13" s="15">
        <v>44111</v>
      </c>
      <c r="F13" s="15">
        <v>44112</v>
      </c>
      <c r="G13" s="15">
        <v>44113</v>
      </c>
      <c r="H13" s="16">
        <v>44114</v>
      </c>
      <c r="I13" s="16">
        <v>44115</v>
      </c>
    </row>
    <row r="14" spans="3:13" ht="35" customHeight="1">
      <c r="C14" s="44"/>
      <c r="D14" s="99"/>
      <c r="E14" s="17"/>
      <c r="F14" s="17"/>
      <c r="G14" s="17"/>
      <c r="H14" s="17"/>
      <c r="I14" s="17"/>
    </row>
    <row r="15" spans="3:13" ht="15" customHeight="1">
      <c r="C15" s="15">
        <f t="array" ref="C15:I15">DaysAndWeeks+DATE(CalendarYear,10,1)-WEEKDAY(DATE(CalendarYear,10,1),(WeekStart="L")+1)+15</f>
        <v>44116</v>
      </c>
      <c r="D15" s="15">
        <v>44117</v>
      </c>
      <c r="E15" s="15">
        <v>44118</v>
      </c>
      <c r="F15" s="15">
        <v>44119</v>
      </c>
      <c r="G15" s="15">
        <v>44120</v>
      </c>
      <c r="H15" s="16">
        <v>44121</v>
      </c>
      <c r="I15" s="16">
        <v>44122</v>
      </c>
    </row>
    <row r="16" spans="3:13" ht="82" customHeight="1">
      <c r="C16" s="44"/>
      <c r="D16" s="17"/>
      <c r="E16" s="17"/>
      <c r="F16" s="17"/>
      <c r="G16" s="17"/>
      <c r="H16" s="17"/>
      <c r="I16" s="17"/>
    </row>
    <row r="17" spans="3:9" ht="21" customHeight="1">
      <c r="C17" s="15">
        <f t="array" ref="C17:I17">DaysAndWeeks+DATE(CalendarYear,10,1)-WEEKDAY(DATE(CalendarYear,10,1),(WeekStart="L")+1)+22</f>
        <v>44123</v>
      </c>
      <c r="D17" s="15">
        <v>44124</v>
      </c>
      <c r="E17" s="45">
        <v>44125</v>
      </c>
      <c r="F17" s="15">
        <v>44126</v>
      </c>
      <c r="G17" s="15">
        <v>44127</v>
      </c>
      <c r="H17" s="16">
        <v>44128</v>
      </c>
      <c r="I17" s="16">
        <v>44129</v>
      </c>
    </row>
    <row r="18" spans="3:9" ht="41" customHeight="1">
      <c r="C18" s="17"/>
      <c r="D18" s="17"/>
      <c r="E18" s="17"/>
      <c r="G18" s="17"/>
      <c r="H18" s="17"/>
      <c r="I18" s="17"/>
    </row>
    <row r="19" spans="3:9" ht="20" customHeight="1">
      <c r="C19" s="15">
        <f t="array" ref="C19:I19">DaysAndWeeks+DATE(CalendarYear,10,1)-WEEKDAY(DATE(CalendarYear,10,1),(WeekStart="L")+1)+29</f>
        <v>44130</v>
      </c>
      <c r="D19" s="15">
        <v>44131</v>
      </c>
      <c r="E19" s="15">
        <v>44132</v>
      </c>
      <c r="F19" s="15">
        <v>44133</v>
      </c>
      <c r="G19" s="45">
        <v>44134</v>
      </c>
      <c r="H19" s="16">
        <v>44135</v>
      </c>
      <c r="I19" s="15">
        <v>44136</v>
      </c>
    </row>
    <row r="20" spans="3:9" ht="212" customHeight="1">
      <c r="C20" s="17"/>
      <c r="D20" s="17"/>
      <c r="E20" s="17"/>
      <c r="F20" s="133" t="s">
        <v>57</v>
      </c>
      <c r="G20" s="44"/>
      <c r="H20" s="17"/>
      <c r="I20" s="17"/>
    </row>
    <row r="21" spans="3:9" ht="15" customHeight="1">
      <c r="C21" s="15">
        <f t="array" ref="C21:I21">DaysAndWeeks+DATE(CalendarYear,10,1)-WEEKDAY(DATE(CalendarYear,10,1),(WeekStart="L")+1)+36</f>
        <v>44137</v>
      </c>
      <c r="D21" s="15">
        <v>44138</v>
      </c>
      <c r="E21" s="15">
        <v>44139</v>
      </c>
      <c r="F21" s="15">
        <v>44140</v>
      </c>
      <c r="G21" s="15">
        <v>44141</v>
      </c>
      <c r="H21" s="15">
        <v>44142</v>
      </c>
      <c r="I21" s="15">
        <v>44143</v>
      </c>
    </row>
    <row r="22" spans="3:9" ht="39.75" customHeight="1">
      <c r="C22" s="18"/>
      <c r="D22" s="18"/>
      <c r="E22" s="18"/>
      <c r="F22" s="18"/>
      <c r="G22" s="18"/>
      <c r="H22" s="18"/>
      <c r="I22" s="17"/>
    </row>
    <row r="23" spans="3:9" s="21" customFormat="1" ht="14.25" customHeight="1">
      <c r="C23" s="27"/>
      <c r="D23" s="27"/>
      <c r="E23" s="27"/>
      <c r="F23" s="27"/>
      <c r="G23" s="27"/>
      <c r="H23" s="27"/>
      <c r="I23" s="27"/>
    </row>
    <row r="24" spans="3:9" s="21" customFormat="1"/>
    <row r="25" spans="3:9" s="21" customFormat="1"/>
    <row r="26" spans="3:9" s="21" customFormat="1"/>
    <row r="27" spans="3:9" s="21" customFormat="1"/>
    <row r="28" spans="3:9" s="21" customFormat="1"/>
    <row r="29" spans="3:9" s="21" customFormat="1"/>
    <row r="30" spans="3:9" s="21" customFormat="1"/>
    <row r="31" spans="3:9" s="21" customFormat="1"/>
    <row r="32" spans="3:9" s="21" customFormat="1"/>
    <row r="33" s="21" customFormat="1"/>
    <row r="34" s="21" customFormat="1"/>
    <row r="35" s="21" customFormat="1"/>
    <row r="36" s="21" customFormat="1"/>
    <row r="37" s="21" customFormat="1"/>
    <row r="38" s="21" customFormat="1"/>
    <row r="39" s="21" customFormat="1"/>
    <row r="40" s="21" customFormat="1"/>
    <row r="41" s="21" customFormat="1"/>
    <row r="42" s="21" customFormat="1"/>
    <row r="43" s="21" customFormat="1"/>
    <row r="44" s="21" customFormat="1"/>
    <row r="45" s="21" customFormat="1"/>
    <row r="46" s="21" customFormat="1"/>
    <row r="47" s="21" customFormat="1"/>
    <row r="48" s="21" customFormat="1"/>
  </sheetData>
  <mergeCells count="2">
    <mergeCell ref="C8:D8"/>
    <mergeCell ref="C9:F9"/>
  </mergeCells>
  <conditionalFormatting sqref="C11:H11">
    <cfRule type="expression" dxfId="15" priority="4">
      <formula>DAY(C11)&gt;8</formula>
    </cfRule>
  </conditionalFormatting>
  <conditionalFormatting sqref="C19:I19 C21:I22 C20:E20 G20:I20">
    <cfRule type="expression" dxfId="14" priority="3">
      <formula>AND(DAY(C19)&gt;=1,DAY(C19)&lt;=15)</formula>
    </cfRule>
  </conditionalFormatting>
  <conditionalFormatting sqref="D14">
    <cfRule type="expression" dxfId="13" priority="2">
      <formula>AND(DAY(D14)&gt;=1,DAY(D14)&lt;=15)</formula>
    </cfRule>
  </conditionalFormatting>
  <conditionalFormatting sqref="F20">
    <cfRule type="expression" dxfId="12" priority="1">
      <formula>AND(DAY(F20)&gt;=1,DAY(F20)&lt;=15)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C1:N52"/>
  <sheetViews>
    <sheetView workbookViewId="0">
      <selection activeCell="D14" sqref="D14"/>
    </sheetView>
  </sheetViews>
  <sheetFormatPr baseColWidth="10" defaultColWidth="7.83203125" defaultRowHeight="11"/>
  <cols>
    <col min="1" max="1" width="7.83203125" style="14"/>
    <col min="2" max="2" width="4.5" style="14" customWidth="1"/>
    <col min="3" max="3" width="28" style="14" customWidth="1"/>
    <col min="4" max="4" width="35.1640625" style="14" customWidth="1"/>
    <col min="5" max="5" width="43.5" style="14" customWidth="1"/>
    <col min="6" max="6" width="20.6640625" style="14" customWidth="1"/>
    <col min="7" max="7" width="21.33203125" style="14" customWidth="1"/>
    <col min="8" max="9" width="10.33203125" style="14" customWidth="1"/>
    <col min="10" max="10" width="4.5" style="21" customWidth="1"/>
    <col min="11" max="12" width="7.83203125" style="21"/>
    <col min="13" max="13" width="23.6640625" style="21" customWidth="1"/>
    <col min="14" max="14" width="7.83203125" style="21"/>
    <col min="15" max="16384" width="7.83203125" style="14"/>
  </cols>
  <sheetData>
    <row r="1" spans="3:10" s="21" customFormat="1"/>
    <row r="2" spans="3:10" s="21" customFormat="1"/>
    <row r="3" spans="3:10" s="21" customFormat="1"/>
    <row r="4" spans="3:10" s="21" customFormat="1"/>
    <row r="5" spans="3:10" s="21" customFormat="1" ht="12.75" customHeight="1">
      <c r="C5" s="19"/>
      <c r="D5" s="20"/>
      <c r="E5" s="20"/>
      <c r="F5" s="20"/>
      <c r="G5" s="20"/>
      <c r="H5" s="20"/>
      <c r="I5" s="20"/>
      <c r="J5" s="20"/>
    </row>
    <row r="6" spans="3:10" s="21" customFormat="1" ht="15.75" customHeight="1">
      <c r="C6" s="19"/>
      <c r="D6" s="19"/>
      <c r="E6" s="19"/>
      <c r="F6" s="20"/>
      <c r="G6" s="20"/>
      <c r="H6" s="20"/>
    </row>
    <row r="7" spans="3:10" s="21" customFormat="1" ht="16.5" customHeight="1">
      <c r="C7" s="20"/>
      <c r="D7" s="20"/>
      <c r="E7" s="20"/>
      <c r="F7" s="20"/>
      <c r="G7" s="20"/>
      <c r="H7" s="22"/>
      <c r="I7" s="23"/>
      <c r="J7" s="20"/>
    </row>
    <row r="8" spans="3:10" s="21" customFormat="1" ht="27.75" customHeight="1">
      <c r="C8" s="115"/>
      <c r="D8" s="115"/>
      <c r="F8" s="20"/>
      <c r="G8" s="20"/>
      <c r="H8" s="20"/>
      <c r="I8" s="24"/>
      <c r="J8" s="20"/>
    </row>
    <row r="9" spans="3:10" s="21" customFormat="1" ht="44.25" customHeight="1">
      <c r="C9" s="116" t="s">
        <v>45</v>
      </c>
      <c r="D9" s="116"/>
      <c r="E9" s="116"/>
      <c r="F9" s="116"/>
      <c r="G9" s="25"/>
    </row>
    <row r="10" spans="3:10" s="26" customFormat="1" ht="18.75" customHeight="1">
      <c r="C10" s="29" t="str">
        <f>WeekStart</f>
        <v>L</v>
      </c>
      <c r="D10" s="29" t="str">
        <f t="shared" ref="D10:I10" si="0">UPPER(LEFT(TEXT(D11,"ddd"),1))</f>
        <v>M</v>
      </c>
      <c r="E10" s="29" t="str">
        <f t="shared" si="0"/>
        <v>M</v>
      </c>
      <c r="F10" s="29" t="str">
        <f t="shared" si="0"/>
        <v>J</v>
      </c>
      <c r="G10" s="29" t="str">
        <f t="shared" si="0"/>
        <v>V</v>
      </c>
      <c r="H10" s="46" t="str">
        <f t="shared" si="0"/>
        <v>S</v>
      </c>
      <c r="I10" s="46" t="str">
        <f t="shared" si="0"/>
        <v>D</v>
      </c>
    </row>
    <row r="11" spans="3:10" ht="16.5" customHeight="1">
      <c r="C11" s="15">
        <f t="array" ref="C11:I11">DaysAndWeeks+DATE(CalendarYear,11,1)-WEEKDAY(DATE(CalendarYear,11,1),(WeekStart="L")+1)+1</f>
        <v>44130</v>
      </c>
      <c r="D11" s="15">
        <v>44131</v>
      </c>
      <c r="E11" s="15">
        <v>44132</v>
      </c>
      <c r="F11" s="15">
        <v>44133</v>
      </c>
      <c r="G11" s="15">
        <v>44134</v>
      </c>
      <c r="H11" s="15">
        <v>44135</v>
      </c>
      <c r="I11" s="16">
        <v>44136</v>
      </c>
    </row>
    <row r="12" spans="3:10" ht="39.75" customHeight="1">
      <c r="C12" s="17"/>
      <c r="D12" s="17"/>
      <c r="E12" s="17"/>
      <c r="G12" s="17"/>
      <c r="H12" s="17"/>
      <c r="I12" s="17"/>
    </row>
    <row r="13" spans="3:10" ht="15" customHeight="1">
      <c r="C13" s="15">
        <f t="array" ref="C13:I13">DaysAndWeeks+DATE(CalendarYear,11,1)-WEEKDAY(DATE(CalendarYear,11,1),(WeekStart="L")+1)+8</f>
        <v>44137</v>
      </c>
      <c r="D13" s="15">
        <v>44138</v>
      </c>
      <c r="E13" s="15">
        <v>44139</v>
      </c>
      <c r="F13" s="15">
        <v>44140</v>
      </c>
      <c r="G13" s="15">
        <v>44141</v>
      </c>
      <c r="H13" s="16">
        <v>44142</v>
      </c>
      <c r="I13" s="16">
        <v>44143</v>
      </c>
    </row>
    <row r="14" spans="3:10" ht="217" customHeight="1">
      <c r="C14" s="17"/>
      <c r="D14" s="133" t="s">
        <v>58</v>
      </c>
      <c r="E14" s="17"/>
      <c r="F14" s="44"/>
      <c r="G14" s="17"/>
      <c r="H14" s="17"/>
      <c r="I14" s="17"/>
    </row>
    <row r="15" spans="3:10" ht="15" customHeight="1">
      <c r="C15" s="15">
        <f t="array" ref="C15:I15">DaysAndWeeks+DATE(CalendarYear,11,1)-WEEKDAY(DATE(CalendarYear,11,1),(WeekStart="L")+1)+15</f>
        <v>44144</v>
      </c>
      <c r="D15" s="15">
        <v>44145</v>
      </c>
      <c r="E15" s="15">
        <v>44146</v>
      </c>
      <c r="F15" s="15">
        <v>44147</v>
      </c>
      <c r="G15" s="15">
        <v>44148</v>
      </c>
      <c r="H15" s="16">
        <v>44149</v>
      </c>
      <c r="I15" s="16">
        <v>44150</v>
      </c>
    </row>
    <row r="16" spans="3:10" ht="34" customHeight="1">
      <c r="C16" s="17"/>
      <c r="D16" s="17"/>
      <c r="F16" s="17"/>
      <c r="G16" s="17"/>
      <c r="H16" s="17"/>
      <c r="I16" s="17"/>
    </row>
    <row r="17" spans="3:14" ht="15" customHeight="1">
      <c r="C17" s="15">
        <f t="array" ref="C17:I17">DaysAndWeeks+DATE(CalendarYear,11,1)-WEEKDAY(DATE(CalendarYear,11,1),(WeekStart="L")+1)+22</f>
        <v>44151</v>
      </c>
      <c r="D17" s="15">
        <v>44152</v>
      </c>
      <c r="E17" s="15">
        <v>44153</v>
      </c>
      <c r="F17" s="15">
        <v>44154</v>
      </c>
      <c r="G17" s="15">
        <v>44155</v>
      </c>
      <c r="H17" s="16">
        <v>44156</v>
      </c>
      <c r="I17" s="16">
        <v>44157</v>
      </c>
    </row>
    <row r="18" spans="3:14" ht="40.5" customHeight="1">
      <c r="C18" s="17"/>
      <c r="D18" s="17"/>
      <c r="E18" s="17"/>
      <c r="F18" s="17"/>
      <c r="G18" s="17"/>
      <c r="H18" s="17"/>
      <c r="I18" s="17"/>
      <c r="L18" s="24"/>
      <c r="N18" s="48"/>
    </row>
    <row r="19" spans="3:14" ht="15" customHeight="1">
      <c r="C19" s="15">
        <f t="array" ref="C19:I19">DaysAndWeeks+DATE(CalendarYear,11,1)-WEEKDAY(DATE(CalendarYear,11,1),(WeekStart="L")+1)+29</f>
        <v>44158</v>
      </c>
      <c r="D19" s="15">
        <v>44159</v>
      </c>
      <c r="E19" s="15">
        <v>44160</v>
      </c>
      <c r="F19" s="15">
        <v>44161</v>
      </c>
      <c r="G19" s="15">
        <v>44162</v>
      </c>
      <c r="H19" s="16">
        <v>44163</v>
      </c>
      <c r="I19" s="16">
        <v>44164</v>
      </c>
    </row>
    <row r="20" spans="3:14" ht="43" customHeight="1">
      <c r="C20" s="47"/>
      <c r="D20" s="17"/>
      <c r="E20" s="17"/>
      <c r="F20" s="17"/>
      <c r="G20" s="17"/>
      <c r="H20" s="17"/>
      <c r="I20" s="17"/>
      <c r="K20" s="24"/>
    </row>
    <row r="21" spans="3:14" ht="15" customHeight="1">
      <c r="C21" s="15">
        <f t="array" ref="C21:I21">DaysAndWeeks+DATE(CalendarYear,11,1)-WEEKDAY(DATE(CalendarYear,11,1),(WeekStart="L")+1)+36</f>
        <v>44165</v>
      </c>
      <c r="D21" s="15">
        <v>44166</v>
      </c>
      <c r="E21" s="15">
        <v>44167</v>
      </c>
      <c r="F21" s="15">
        <v>44168</v>
      </c>
      <c r="G21" s="15">
        <v>44169</v>
      </c>
      <c r="H21" s="15">
        <v>44170</v>
      </c>
      <c r="I21" s="15">
        <v>44171</v>
      </c>
    </row>
    <row r="22" spans="3:14" ht="39.75" customHeight="1">
      <c r="C22" s="18"/>
      <c r="D22" s="18"/>
      <c r="E22" s="18"/>
      <c r="F22" s="18"/>
      <c r="G22" s="18"/>
      <c r="H22" s="18"/>
      <c r="I22" s="17"/>
    </row>
    <row r="23" spans="3:14" s="21" customFormat="1" ht="14.25" customHeight="1">
      <c r="C23" s="27"/>
      <c r="D23" s="27"/>
      <c r="E23" s="27"/>
      <c r="F23" s="27"/>
      <c r="G23" s="27"/>
      <c r="H23" s="27"/>
      <c r="I23" s="27"/>
    </row>
    <row r="24" spans="3:14" s="21" customFormat="1"/>
    <row r="25" spans="3:14" s="21" customFormat="1"/>
    <row r="26" spans="3:14" s="21" customFormat="1"/>
    <row r="27" spans="3:14" s="21" customFormat="1"/>
    <row r="28" spans="3:14" s="21" customFormat="1"/>
    <row r="29" spans="3:14" s="21" customFormat="1"/>
    <row r="30" spans="3:14" s="21" customFormat="1"/>
    <row r="31" spans="3:14" s="21" customFormat="1"/>
    <row r="32" spans="3:14" s="21" customFormat="1"/>
    <row r="33" s="21" customFormat="1"/>
    <row r="34" s="21" customFormat="1"/>
    <row r="35" s="21" customFormat="1"/>
    <row r="36" s="21" customFormat="1"/>
    <row r="37" s="21" customFormat="1"/>
    <row r="38" s="21" customFormat="1"/>
    <row r="39" s="21" customFormat="1"/>
    <row r="40" s="21" customFormat="1"/>
    <row r="41" s="21" customFormat="1"/>
    <row r="42" s="21" customFormat="1"/>
    <row r="43" s="21" customFormat="1"/>
    <row r="44" s="21" customFormat="1"/>
    <row r="45" s="21" customFormat="1"/>
    <row r="46" s="21" customFormat="1"/>
    <row r="47" s="21" customFormat="1"/>
    <row r="48" s="21" customFormat="1"/>
    <row r="49" s="21" customFormat="1"/>
    <row r="50" s="21" customFormat="1"/>
    <row r="51" s="21" customFormat="1"/>
    <row r="52" s="21" customFormat="1"/>
  </sheetData>
  <mergeCells count="2">
    <mergeCell ref="C8:D8"/>
    <mergeCell ref="C9:F9"/>
  </mergeCells>
  <conditionalFormatting sqref="C11:H11">
    <cfRule type="expression" dxfId="11" priority="3">
      <formula>DAY(C11)&gt;8</formula>
    </cfRule>
  </conditionalFormatting>
  <conditionalFormatting sqref="C19:I22">
    <cfRule type="expression" dxfId="10" priority="2">
      <formula>AND(DAY(C19)&gt;=1,DAY(C19)&lt;=15)</formula>
    </cfRule>
  </conditionalFormatting>
  <conditionalFormatting sqref="D14">
    <cfRule type="expression" dxfId="9" priority="1">
      <formula>AND(DAY(D14)&gt;=1,DAY(D14)&lt;=15)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581F-75C7-B748-90F0-813795DB024A}">
  <sheetPr>
    <tabColor theme="4" tint="0.79998168889431442"/>
  </sheetPr>
  <dimension ref="C1:N52"/>
  <sheetViews>
    <sheetView topLeftCell="A9" workbookViewId="0">
      <selection activeCell="E16" sqref="E16"/>
    </sheetView>
  </sheetViews>
  <sheetFormatPr baseColWidth="10" defaultColWidth="7.83203125" defaultRowHeight="11"/>
  <cols>
    <col min="1" max="1" width="7.83203125" style="14"/>
    <col min="2" max="2" width="4.5" style="14" customWidth="1"/>
    <col min="3" max="3" width="28" style="14" customWidth="1"/>
    <col min="4" max="4" width="35.1640625" style="14" customWidth="1"/>
    <col min="5" max="5" width="43.5" style="14" customWidth="1"/>
    <col min="6" max="6" width="20.6640625" style="14" customWidth="1"/>
    <col min="7" max="7" width="21.33203125" style="14" customWidth="1"/>
    <col min="8" max="9" width="10.33203125" style="14" customWidth="1"/>
    <col min="10" max="10" width="4.5" style="21" customWidth="1"/>
    <col min="11" max="12" width="7.83203125" style="21"/>
    <col min="13" max="13" width="23.6640625" style="21" customWidth="1"/>
    <col min="14" max="14" width="7.83203125" style="21"/>
    <col min="15" max="16384" width="7.83203125" style="14"/>
  </cols>
  <sheetData>
    <row r="1" spans="3:10" s="21" customFormat="1"/>
    <row r="2" spans="3:10" s="21" customFormat="1"/>
    <row r="3" spans="3:10" s="21" customFormat="1"/>
    <row r="4" spans="3:10" s="21" customFormat="1"/>
    <row r="5" spans="3:10" s="21" customFormat="1" ht="12.75" customHeight="1">
      <c r="C5" s="19"/>
      <c r="D5" s="20"/>
      <c r="E5" s="20"/>
      <c r="F5" s="20"/>
      <c r="G5" s="20"/>
      <c r="H5" s="20"/>
      <c r="I5" s="20"/>
      <c r="J5" s="20"/>
    </row>
    <row r="6" spans="3:10" s="21" customFormat="1" ht="15.75" customHeight="1">
      <c r="C6" s="19"/>
      <c r="D6" s="19"/>
      <c r="E6" s="19"/>
      <c r="F6" s="20"/>
      <c r="G6" s="20"/>
      <c r="H6" s="20"/>
    </row>
    <row r="7" spans="3:10" s="21" customFormat="1" ht="16.5" customHeight="1">
      <c r="C7" s="20"/>
      <c r="D7" s="20"/>
      <c r="E7" s="20"/>
      <c r="F7" s="20"/>
      <c r="G7" s="20"/>
      <c r="H7" s="22"/>
      <c r="I7" s="23"/>
      <c r="J7" s="20"/>
    </row>
    <row r="8" spans="3:10" s="21" customFormat="1" ht="27.75" customHeight="1">
      <c r="C8" s="115"/>
      <c r="D8" s="115"/>
      <c r="F8" s="20"/>
      <c r="G8" s="20"/>
      <c r="H8" s="20"/>
      <c r="I8" s="24"/>
      <c r="J8" s="20"/>
    </row>
    <row r="9" spans="3:10" s="21" customFormat="1" ht="44.25" customHeight="1">
      <c r="C9" s="116" t="s">
        <v>46</v>
      </c>
      <c r="D9" s="116"/>
      <c r="E9" s="116"/>
      <c r="F9" s="116"/>
      <c r="G9" s="25"/>
    </row>
    <row r="10" spans="3:10" s="26" customFormat="1" ht="18.75" customHeight="1">
      <c r="C10" s="29" t="str">
        <f>WeekStart</f>
        <v>L</v>
      </c>
      <c r="D10" s="29" t="str">
        <f t="shared" ref="D10:I10" si="0">UPPER(LEFT(TEXT(D11,"ddd"),1))</f>
        <v>M</v>
      </c>
      <c r="E10" s="29" t="str">
        <f t="shared" si="0"/>
        <v>M</v>
      </c>
      <c r="F10" s="29" t="str">
        <f t="shared" si="0"/>
        <v>J</v>
      </c>
      <c r="G10" s="29" t="str">
        <f t="shared" si="0"/>
        <v>V</v>
      </c>
      <c r="H10" s="46" t="str">
        <f t="shared" si="0"/>
        <v>S</v>
      </c>
      <c r="I10" s="46" t="str">
        <f t="shared" si="0"/>
        <v>D</v>
      </c>
    </row>
    <row r="11" spans="3:10" ht="16.5" customHeight="1">
      <c r="C11" s="15">
        <f t="array" ref="C11:I11">DaysAndWeeks+DATE(CalendarYear,11,1)-WEEKDAY(DATE(CalendarYear,11,1),(WeekStart="L")+1)+1</f>
        <v>44130</v>
      </c>
      <c r="D11" s="15">
        <v>44131</v>
      </c>
      <c r="E11" s="15">
        <v>44132</v>
      </c>
      <c r="F11" s="15">
        <v>44133</v>
      </c>
      <c r="G11" s="15">
        <v>44134</v>
      </c>
      <c r="H11" s="15">
        <v>44135</v>
      </c>
      <c r="I11" s="16">
        <v>44136</v>
      </c>
    </row>
    <row r="12" spans="3:10" ht="39.75" customHeight="1">
      <c r="C12" s="17"/>
      <c r="D12" s="17"/>
      <c r="E12" s="17"/>
      <c r="G12" s="17"/>
      <c r="H12" s="17"/>
      <c r="I12" s="17"/>
    </row>
    <row r="13" spans="3:10" ht="15" customHeight="1">
      <c r="C13" s="15">
        <f t="array" ref="C13:I13">DaysAndWeeks+DATE(CalendarYear,11,1)-WEEKDAY(DATE(CalendarYear,11,1),(WeekStart="L")+1)+8</f>
        <v>44137</v>
      </c>
      <c r="D13" s="15">
        <v>44138</v>
      </c>
      <c r="E13" s="15">
        <v>44139</v>
      </c>
      <c r="F13" s="15">
        <v>44140</v>
      </c>
      <c r="G13" s="15">
        <v>44141</v>
      </c>
      <c r="H13" s="16">
        <v>44142</v>
      </c>
      <c r="I13" s="16">
        <v>44143</v>
      </c>
    </row>
    <row r="14" spans="3:10" ht="44" customHeight="1">
      <c r="C14" s="17"/>
      <c r="E14" s="17"/>
      <c r="F14" s="44"/>
      <c r="G14" s="17"/>
      <c r="H14" s="17"/>
      <c r="I14" s="17"/>
    </row>
    <row r="15" spans="3:10" ht="14" customHeight="1">
      <c r="C15" s="15">
        <f t="array" ref="C15:I15">DaysAndWeeks+DATE(CalendarYear,11,1)-WEEKDAY(DATE(CalendarYear,11,1),(WeekStart="L")+1)+15</f>
        <v>44144</v>
      </c>
      <c r="D15" s="15">
        <v>44145</v>
      </c>
      <c r="E15" s="15">
        <v>44146</v>
      </c>
      <c r="F15" s="15">
        <v>44147</v>
      </c>
      <c r="G15" s="15">
        <v>44148</v>
      </c>
      <c r="H15" s="16">
        <v>44149</v>
      </c>
      <c r="I15" s="16">
        <v>44150</v>
      </c>
    </row>
    <row r="16" spans="3:10" ht="186" customHeight="1">
      <c r="C16" s="17"/>
      <c r="D16" s="17"/>
      <c r="E16" s="134" t="s">
        <v>59</v>
      </c>
      <c r="F16" s="17"/>
      <c r="G16" s="17"/>
      <c r="H16" s="17"/>
      <c r="I16" s="17"/>
    </row>
    <row r="17" spans="3:14" ht="15" customHeight="1">
      <c r="C17" s="15">
        <f t="array" ref="C17:I17">DaysAndWeeks+DATE(CalendarYear,11,1)-WEEKDAY(DATE(CalendarYear,11,1),(WeekStart="L")+1)+22</f>
        <v>44151</v>
      </c>
      <c r="D17" s="15">
        <v>44152</v>
      </c>
      <c r="E17" s="15">
        <v>44153</v>
      </c>
      <c r="F17" s="15">
        <v>44154</v>
      </c>
      <c r="G17" s="15">
        <v>44155</v>
      </c>
      <c r="H17" s="16">
        <v>44156</v>
      </c>
      <c r="I17" s="16">
        <v>44157</v>
      </c>
    </row>
    <row r="18" spans="3:14" ht="40.5" customHeight="1">
      <c r="C18" s="17"/>
      <c r="D18" s="17"/>
      <c r="E18" s="17"/>
      <c r="F18" s="17"/>
      <c r="G18" s="17"/>
      <c r="H18" s="17"/>
      <c r="I18" s="17"/>
      <c r="L18" s="24"/>
      <c r="N18" s="48"/>
    </row>
    <row r="19" spans="3:14" ht="15" customHeight="1">
      <c r="C19" s="15">
        <f t="array" ref="C19:I19">DaysAndWeeks+DATE(CalendarYear,11,1)-WEEKDAY(DATE(CalendarYear,11,1),(WeekStart="L")+1)+29</f>
        <v>44158</v>
      </c>
      <c r="D19" s="15">
        <v>44159</v>
      </c>
      <c r="E19" s="15">
        <v>44160</v>
      </c>
      <c r="F19" s="15">
        <v>44161</v>
      </c>
      <c r="G19" s="15">
        <v>44162</v>
      </c>
      <c r="H19" s="16">
        <v>44163</v>
      </c>
      <c r="I19" s="16">
        <v>44164</v>
      </c>
    </row>
    <row r="20" spans="3:14" ht="43" customHeight="1">
      <c r="C20" s="47"/>
      <c r="D20" s="17"/>
      <c r="E20" s="17"/>
      <c r="F20" s="17"/>
      <c r="G20" s="17"/>
      <c r="H20" s="17"/>
      <c r="I20" s="17"/>
      <c r="K20" s="24"/>
    </row>
    <row r="21" spans="3:14" ht="15" customHeight="1">
      <c r="C21" s="15">
        <f t="array" ref="C21:I21">DaysAndWeeks+DATE(CalendarYear,11,1)-WEEKDAY(DATE(CalendarYear,11,1),(WeekStart="L")+1)+36</f>
        <v>44165</v>
      </c>
      <c r="D21" s="15">
        <v>44166</v>
      </c>
      <c r="E21" s="15">
        <v>44167</v>
      </c>
      <c r="F21" s="15">
        <v>44168</v>
      </c>
      <c r="G21" s="15">
        <v>44169</v>
      </c>
      <c r="H21" s="15">
        <v>44170</v>
      </c>
      <c r="I21" s="15">
        <v>44171</v>
      </c>
    </row>
    <row r="22" spans="3:14" ht="39.75" customHeight="1">
      <c r="C22" s="18"/>
      <c r="D22" s="18"/>
      <c r="E22" s="18"/>
      <c r="F22" s="18"/>
      <c r="G22" s="18"/>
      <c r="H22" s="18"/>
      <c r="I22" s="17"/>
    </row>
    <row r="23" spans="3:14" s="21" customFormat="1" ht="14.25" customHeight="1">
      <c r="C23" s="27"/>
      <c r="D23" s="27"/>
      <c r="E23" s="27"/>
      <c r="F23" s="27"/>
      <c r="G23" s="27"/>
      <c r="H23" s="27"/>
      <c r="I23" s="27"/>
    </row>
    <row r="24" spans="3:14" s="21" customFormat="1"/>
    <row r="25" spans="3:14" s="21" customFormat="1"/>
    <row r="26" spans="3:14" s="21" customFormat="1"/>
    <row r="27" spans="3:14" s="21" customFormat="1"/>
    <row r="28" spans="3:14" s="21" customFormat="1"/>
    <row r="29" spans="3:14" s="21" customFormat="1"/>
    <row r="30" spans="3:14" s="21" customFormat="1"/>
    <row r="31" spans="3:14" s="21" customFormat="1"/>
    <row r="32" spans="3:14" s="21" customFormat="1"/>
    <row r="33" s="21" customFormat="1"/>
    <row r="34" s="21" customFormat="1"/>
    <row r="35" s="21" customFormat="1"/>
    <row r="36" s="21" customFormat="1"/>
    <row r="37" s="21" customFormat="1"/>
    <row r="38" s="21" customFormat="1"/>
    <row r="39" s="21" customFormat="1"/>
    <row r="40" s="21" customFormat="1"/>
    <row r="41" s="21" customFormat="1"/>
    <row r="42" s="21" customFormat="1"/>
    <row r="43" s="21" customFormat="1"/>
    <row r="44" s="21" customFormat="1"/>
    <row r="45" s="21" customFormat="1"/>
    <row r="46" s="21" customFormat="1"/>
    <row r="47" s="21" customFormat="1"/>
    <row r="48" s="21" customFormat="1"/>
    <row r="49" s="21" customFormat="1"/>
    <row r="50" s="21" customFormat="1"/>
    <row r="51" s="21" customFormat="1"/>
    <row r="52" s="21" customFormat="1"/>
  </sheetData>
  <mergeCells count="2">
    <mergeCell ref="C8:D8"/>
    <mergeCell ref="C9:F9"/>
  </mergeCells>
  <conditionalFormatting sqref="C11:H11">
    <cfRule type="expression" dxfId="8" priority="3">
      <formula>DAY(C11)&gt;8</formula>
    </cfRule>
  </conditionalFormatting>
  <conditionalFormatting sqref="C19:I22">
    <cfRule type="expression" dxfId="7" priority="2">
      <formula>AND(DAY(C19)&gt;=1,DAY(C19)&lt;=15)</formula>
    </cfRule>
  </conditionalFormatting>
  <conditionalFormatting sqref="E16">
    <cfRule type="expression" dxfId="6" priority="1">
      <formula>AND(DAY(E16)&gt;=1,DAY(E16)&lt;=15)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7D28-A0EA-0D4D-BCD5-B3259484CD06}">
  <sheetPr>
    <tabColor theme="4" tint="0.79998168889431442"/>
  </sheetPr>
  <dimension ref="C1:N52"/>
  <sheetViews>
    <sheetView workbookViewId="0">
      <selection activeCell="E14" sqref="E14"/>
    </sheetView>
  </sheetViews>
  <sheetFormatPr baseColWidth="10" defaultColWidth="7.83203125" defaultRowHeight="11"/>
  <cols>
    <col min="1" max="1" width="7.83203125" style="14"/>
    <col min="2" max="2" width="4.5" style="14" customWidth="1"/>
    <col min="3" max="3" width="28" style="14" customWidth="1"/>
    <col min="4" max="4" width="35.1640625" style="14" customWidth="1"/>
    <col min="5" max="5" width="43.5" style="14" customWidth="1"/>
    <col min="6" max="6" width="20.6640625" style="14" customWidth="1"/>
    <col min="7" max="7" width="21.33203125" style="14" customWidth="1"/>
    <col min="8" max="9" width="10.33203125" style="14" customWidth="1"/>
    <col min="10" max="10" width="4.5" style="21" customWidth="1"/>
    <col min="11" max="12" width="7.83203125" style="21"/>
    <col min="13" max="13" width="23.6640625" style="21" customWidth="1"/>
    <col min="14" max="14" width="7.83203125" style="21"/>
    <col min="15" max="16384" width="7.83203125" style="14"/>
  </cols>
  <sheetData>
    <row r="1" spans="3:10" s="21" customFormat="1"/>
    <row r="2" spans="3:10" s="21" customFormat="1"/>
    <row r="3" spans="3:10" s="21" customFormat="1"/>
    <row r="4" spans="3:10" s="21" customFormat="1"/>
    <row r="5" spans="3:10" s="21" customFormat="1" ht="12.75" customHeight="1">
      <c r="C5" s="19"/>
      <c r="D5" s="20"/>
      <c r="E5" s="20"/>
      <c r="F5" s="20"/>
      <c r="G5" s="20"/>
      <c r="H5" s="20"/>
      <c r="I5" s="20"/>
      <c r="J5" s="20"/>
    </row>
    <row r="6" spans="3:10" s="21" customFormat="1" ht="15.75" customHeight="1">
      <c r="C6" s="19"/>
      <c r="D6" s="19"/>
      <c r="E6" s="19"/>
      <c r="F6" s="20"/>
      <c r="G6" s="20"/>
      <c r="H6" s="20"/>
    </row>
    <row r="7" spans="3:10" s="21" customFormat="1" ht="16.5" customHeight="1">
      <c r="C7" s="20"/>
      <c r="D7" s="20"/>
      <c r="E7" s="20"/>
      <c r="F7" s="20"/>
      <c r="G7" s="20"/>
      <c r="H7" s="22"/>
      <c r="I7" s="23"/>
      <c r="J7" s="20"/>
    </row>
    <row r="8" spans="3:10" s="21" customFormat="1" ht="27.75" customHeight="1">
      <c r="C8" s="115"/>
      <c r="D8" s="115"/>
      <c r="F8" s="20"/>
      <c r="G8" s="20"/>
      <c r="H8" s="20"/>
      <c r="I8" s="24"/>
      <c r="J8" s="20"/>
    </row>
    <row r="9" spans="3:10" s="21" customFormat="1" ht="44.25" customHeight="1">
      <c r="C9" s="116" t="s">
        <v>0</v>
      </c>
      <c r="D9" s="116"/>
      <c r="E9" s="116"/>
      <c r="F9" s="116"/>
      <c r="G9" s="25"/>
    </row>
    <row r="10" spans="3:10" s="26" customFormat="1" ht="18.75" customHeight="1">
      <c r="C10" s="29" t="str">
        <f>WeekStart</f>
        <v>L</v>
      </c>
      <c r="D10" s="29" t="str">
        <f t="shared" ref="D10:I10" si="0">UPPER(LEFT(TEXT(D11,"ddd"),1))</f>
        <v>M</v>
      </c>
      <c r="E10" s="29" t="str">
        <f t="shared" si="0"/>
        <v>M</v>
      </c>
      <c r="F10" s="29" t="str">
        <f t="shared" si="0"/>
        <v>J</v>
      </c>
      <c r="G10" s="29" t="str">
        <f t="shared" si="0"/>
        <v>V</v>
      </c>
      <c r="H10" s="46" t="str">
        <f t="shared" si="0"/>
        <v>S</v>
      </c>
      <c r="I10" s="46" t="str">
        <f t="shared" si="0"/>
        <v>D</v>
      </c>
    </row>
    <row r="11" spans="3:10" ht="16.5" customHeight="1">
      <c r="C11" s="15">
        <f t="array" ref="C11:I11">DaysAndWeeks+DATE(CalendarYear,11,1)-WEEKDAY(DATE(CalendarYear,11,1),(WeekStart="L")+1)+1</f>
        <v>44130</v>
      </c>
      <c r="D11" s="15">
        <v>44131</v>
      </c>
      <c r="E11" s="15">
        <v>44132</v>
      </c>
      <c r="F11" s="15">
        <v>44133</v>
      </c>
      <c r="G11" s="15">
        <v>44134</v>
      </c>
      <c r="H11" s="15">
        <v>44135</v>
      </c>
      <c r="I11" s="16">
        <v>44136</v>
      </c>
    </row>
    <row r="12" spans="3:10" ht="39.75" customHeight="1">
      <c r="C12" s="17"/>
      <c r="D12" s="17"/>
      <c r="E12" s="17"/>
      <c r="G12" s="17"/>
      <c r="H12" s="17"/>
      <c r="I12" s="17"/>
    </row>
    <row r="13" spans="3:10" ht="15" customHeight="1">
      <c r="C13" s="15">
        <f t="array" ref="C13:I13">DaysAndWeeks+DATE(CalendarYear,11,1)-WEEKDAY(DATE(CalendarYear,11,1),(WeekStart="L")+1)+8</f>
        <v>44137</v>
      </c>
      <c r="D13" s="15">
        <v>44138</v>
      </c>
      <c r="E13" s="15">
        <v>44139</v>
      </c>
      <c r="F13" s="15">
        <v>44140</v>
      </c>
      <c r="G13" s="15">
        <v>44141</v>
      </c>
      <c r="H13" s="16">
        <v>44142</v>
      </c>
      <c r="I13" s="16">
        <v>44143</v>
      </c>
    </row>
    <row r="14" spans="3:10" ht="159" customHeight="1">
      <c r="C14" s="17"/>
      <c r="E14" s="133" t="s">
        <v>60</v>
      </c>
      <c r="F14" s="44"/>
      <c r="G14" s="17"/>
      <c r="H14" s="17"/>
      <c r="I14" s="17"/>
    </row>
    <row r="15" spans="3:10" ht="14" customHeight="1">
      <c r="C15" s="15">
        <f t="array" ref="C15:I15">DaysAndWeeks+DATE(CalendarYear,11,1)-WEEKDAY(DATE(CalendarYear,11,1),(WeekStart="L")+1)+15</f>
        <v>44144</v>
      </c>
      <c r="D15" s="15">
        <v>44145</v>
      </c>
      <c r="E15" s="15">
        <v>44146</v>
      </c>
      <c r="F15" s="15">
        <v>44147</v>
      </c>
      <c r="G15" s="15">
        <v>44148</v>
      </c>
      <c r="H15" s="16">
        <v>44149</v>
      </c>
      <c r="I15" s="16">
        <v>44150</v>
      </c>
    </row>
    <row r="16" spans="3:10" ht="33" customHeight="1">
      <c r="C16" s="17"/>
      <c r="D16" s="17"/>
      <c r="F16" s="17"/>
      <c r="G16" s="17"/>
      <c r="H16" s="17"/>
      <c r="I16" s="17"/>
    </row>
    <row r="17" spans="3:14" ht="15" customHeight="1">
      <c r="C17" s="15">
        <f t="array" ref="C17:I17">DaysAndWeeks+DATE(CalendarYear,11,1)-WEEKDAY(DATE(CalendarYear,11,1),(WeekStart="L")+1)+22</f>
        <v>44151</v>
      </c>
      <c r="D17" s="15">
        <v>44152</v>
      </c>
      <c r="E17" s="15">
        <v>44153</v>
      </c>
      <c r="F17" s="15">
        <v>44154</v>
      </c>
      <c r="G17" s="15">
        <v>44155</v>
      </c>
      <c r="H17" s="16">
        <v>44156</v>
      </c>
      <c r="I17" s="16">
        <v>44157</v>
      </c>
    </row>
    <row r="18" spans="3:14" ht="40.5" customHeight="1">
      <c r="C18" s="17"/>
      <c r="D18" s="17"/>
      <c r="E18" s="17"/>
      <c r="F18" s="17"/>
      <c r="G18" s="17"/>
      <c r="H18" s="17"/>
      <c r="I18" s="17"/>
      <c r="L18" s="24"/>
      <c r="N18" s="48"/>
    </row>
    <row r="19" spans="3:14" ht="15" customHeight="1">
      <c r="C19" s="15">
        <f t="array" ref="C19:I19">DaysAndWeeks+DATE(CalendarYear,11,1)-WEEKDAY(DATE(CalendarYear,11,1),(WeekStart="L")+1)+29</f>
        <v>44158</v>
      </c>
      <c r="D19" s="15">
        <v>44159</v>
      </c>
      <c r="E19" s="15">
        <v>44160</v>
      </c>
      <c r="F19" s="15">
        <v>44161</v>
      </c>
      <c r="G19" s="15">
        <v>44162</v>
      </c>
      <c r="H19" s="16">
        <v>44163</v>
      </c>
      <c r="I19" s="16">
        <v>44164</v>
      </c>
    </row>
    <row r="20" spans="3:14" ht="43" customHeight="1">
      <c r="C20" s="47"/>
      <c r="D20" s="17"/>
      <c r="E20" s="17"/>
      <c r="F20" s="17"/>
      <c r="G20" s="17"/>
      <c r="H20" s="17"/>
      <c r="I20" s="17"/>
      <c r="K20" s="24"/>
    </row>
    <row r="21" spans="3:14" ht="15" customHeight="1">
      <c r="C21" s="15">
        <f t="array" ref="C21:I21">DaysAndWeeks+DATE(CalendarYear,11,1)-WEEKDAY(DATE(CalendarYear,11,1),(WeekStart="L")+1)+36</f>
        <v>44165</v>
      </c>
      <c r="D21" s="15">
        <v>44166</v>
      </c>
      <c r="E21" s="15">
        <v>44167</v>
      </c>
      <c r="F21" s="15">
        <v>44168</v>
      </c>
      <c r="G21" s="15">
        <v>44169</v>
      </c>
      <c r="H21" s="15">
        <v>44170</v>
      </c>
      <c r="I21" s="15">
        <v>44171</v>
      </c>
    </row>
    <row r="22" spans="3:14" ht="39.75" customHeight="1">
      <c r="C22" s="18"/>
      <c r="D22" s="18"/>
      <c r="E22" s="18"/>
      <c r="F22" s="18"/>
      <c r="G22" s="18"/>
      <c r="H22" s="18"/>
      <c r="I22" s="17"/>
    </row>
    <row r="23" spans="3:14" s="21" customFormat="1" ht="14.25" customHeight="1">
      <c r="C23" s="27"/>
      <c r="D23" s="27"/>
      <c r="E23" s="27"/>
      <c r="F23" s="27"/>
      <c r="G23" s="27"/>
      <c r="H23" s="27"/>
      <c r="I23" s="27"/>
    </row>
    <row r="24" spans="3:14" s="21" customFormat="1"/>
    <row r="25" spans="3:14" s="21" customFormat="1"/>
    <row r="26" spans="3:14" s="21" customFormat="1"/>
    <row r="27" spans="3:14" s="21" customFormat="1"/>
    <row r="28" spans="3:14" s="21" customFormat="1"/>
    <row r="29" spans="3:14" s="21" customFormat="1"/>
    <row r="30" spans="3:14" s="21" customFormat="1"/>
    <row r="31" spans="3:14" s="21" customFormat="1"/>
    <row r="32" spans="3:14" s="21" customFormat="1"/>
    <row r="33" s="21" customFormat="1"/>
    <row r="34" s="21" customFormat="1"/>
    <row r="35" s="21" customFormat="1"/>
    <row r="36" s="21" customFormat="1"/>
    <row r="37" s="21" customFormat="1"/>
    <row r="38" s="21" customFormat="1"/>
    <row r="39" s="21" customFormat="1"/>
    <row r="40" s="21" customFormat="1"/>
    <row r="41" s="21" customFormat="1"/>
    <row r="42" s="21" customFormat="1"/>
    <row r="43" s="21" customFormat="1"/>
    <row r="44" s="21" customFormat="1"/>
    <row r="45" s="21" customFormat="1"/>
    <row r="46" s="21" customFormat="1"/>
    <row r="47" s="21" customFormat="1"/>
    <row r="48" s="21" customFormat="1"/>
    <row r="49" s="21" customFormat="1"/>
    <row r="50" s="21" customFormat="1"/>
    <row r="51" s="21" customFormat="1"/>
    <row r="52" s="21" customFormat="1"/>
  </sheetData>
  <mergeCells count="2">
    <mergeCell ref="C8:D8"/>
    <mergeCell ref="C9:F9"/>
  </mergeCells>
  <conditionalFormatting sqref="C11:H11">
    <cfRule type="expression" dxfId="5" priority="3">
      <formula>DAY(C11)&gt;8</formula>
    </cfRule>
  </conditionalFormatting>
  <conditionalFormatting sqref="C19:I22">
    <cfRule type="expression" dxfId="4" priority="2">
      <formula>AND(DAY(C19)&gt;=1,DAY(C19)&lt;=15)</formula>
    </cfRule>
  </conditionalFormatting>
  <conditionalFormatting sqref="E14">
    <cfRule type="expression" dxfId="3" priority="1">
      <formula>AND(DAY(E14)&gt;=1,DAY(E14)&lt;=15)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97E2-9DFD-2F4F-B139-82F0F8E49007}">
  <sheetPr>
    <tabColor theme="4" tint="0.79998168889431442"/>
  </sheetPr>
  <dimension ref="C1:N52"/>
  <sheetViews>
    <sheetView topLeftCell="A6" workbookViewId="0">
      <selection activeCell="E14" sqref="E14"/>
    </sheetView>
  </sheetViews>
  <sheetFormatPr baseColWidth="10" defaultColWidth="7.83203125" defaultRowHeight="11"/>
  <cols>
    <col min="1" max="1" width="7.83203125" style="14"/>
    <col min="2" max="2" width="4.5" style="14" customWidth="1"/>
    <col min="3" max="3" width="28" style="14" customWidth="1"/>
    <col min="4" max="4" width="35.1640625" style="14" customWidth="1"/>
    <col min="5" max="5" width="43.5" style="14" customWidth="1"/>
    <col min="6" max="6" width="20.6640625" style="14" customWidth="1"/>
    <col min="7" max="7" width="21.33203125" style="14" customWidth="1"/>
    <col min="8" max="9" width="10.33203125" style="14" customWidth="1"/>
    <col min="10" max="10" width="4.5" style="21" customWidth="1"/>
    <col min="11" max="12" width="7.83203125" style="21"/>
    <col min="13" max="13" width="23.6640625" style="21" customWidth="1"/>
    <col min="14" max="14" width="7.83203125" style="21"/>
    <col min="15" max="16384" width="7.83203125" style="14"/>
  </cols>
  <sheetData>
    <row r="1" spans="3:10" s="21" customFormat="1"/>
    <row r="2" spans="3:10" s="21" customFormat="1"/>
    <row r="3" spans="3:10" s="21" customFormat="1"/>
    <row r="4" spans="3:10" s="21" customFormat="1"/>
    <row r="5" spans="3:10" s="21" customFormat="1" ht="12.75" customHeight="1">
      <c r="C5" s="19"/>
      <c r="D5" s="20"/>
      <c r="E5" s="20"/>
      <c r="F5" s="20"/>
      <c r="G5" s="20"/>
      <c r="H5" s="20"/>
      <c r="I5" s="20"/>
      <c r="J5" s="20"/>
    </row>
    <row r="6" spans="3:10" s="21" customFormat="1" ht="15.75" customHeight="1">
      <c r="C6" s="19"/>
      <c r="D6" s="19"/>
      <c r="E6" s="19"/>
      <c r="F6" s="20"/>
      <c r="G6" s="20"/>
      <c r="H6" s="20"/>
    </row>
    <row r="7" spans="3:10" s="21" customFormat="1" ht="16.5" customHeight="1">
      <c r="C7" s="20"/>
      <c r="D7" s="20"/>
      <c r="E7" s="20"/>
      <c r="F7" s="20"/>
      <c r="G7" s="20"/>
      <c r="H7" s="22"/>
      <c r="I7" s="23"/>
      <c r="J7" s="20"/>
    </row>
    <row r="8" spans="3:10" s="21" customFormat="1" ht="27.75" customHeight="1">
      <c r="C8" s="115"/>
      <c r="D8" s="115"/>
      <c r="F8" s="20"/>
      <c r="G8" s="20"/>
      <c r="H8" s="20"/>
      <c r="I8" s="24"/>
      <c r="J8" s="20"/>
    </row>
    <row r="9" spans="3:10" s="21" customFormat="1" ht="44.25" customHeight="1">
      <c r="C9" s="116" t="s">
        <v>1</v>
      </c>
      <c r="D9" s="116"/>
      <c r="E9" s="116"/>
      <c r="F9" s="116"/>
      <c r="G9" s="25"/>
    </row>
    <row r="10" spans="3:10" s="26" customFormat="1" ht="18.75" customHeight="1">
      <c r="C10" s="29" t="str">
        <f>WeekStart</f>
        <v>L</v>
      </c>
      <c r="D10" s="29" t="str">
        <f t="shared" ref="D10:I10" si="0">UPPER(LEFT(TEXT(D11,"ddd"),1))</f>
        <v>M</v>
      </c>
      <c r="E10" s="29" t="str">
        <f t="shared" si="0"/>
        <v>M</v>
      </c>
      <c r="F10" s="29" t="str">
        <f t="shared" si="0"/>
        <v>J</v>
      </c>
      <c r="G10" s="29" t="str">
        <f t="shared" si="0"/>
        <v>V</v>
      </c>
      <c r="H10" s="46" t="str">
        <f t="shared" si="0"/>
        <v>S</v>
      </c>
      <c r="I10" s="46" t="str">
        <f t="shared" si="0"/>
        <v>D</v>
      </c>
    </row>
    <row r="11" spans="3:10" ht="16.5" customHeight="1">
      <c r="C11" s="15">
        <f t="array" ref="C11:I11">DaysAndWeeks+DATE(CalendarYear,11,1)-WEEKDAY(DATE(CalendarYear,11,1),(WeekStart="L")+1)+1</f>
        <v>44130</v>
      </c>
      <c r="D11" s="15">
        <v>44131</v>
      </c>
      <c r="E11" s="15">
        <v>44132</v>
      </c>
      <c r="F11" s="15">
        <v>44133</v>
      </c>
      <c r="G11" s="15">
        <v>44134</v>
      </c>
      <c r="H11" s="15">
        <v>44135</v>
      </c>
      <c r="I11" s="16">
        <v>44136</v>
      </c>
    </row>
    <row r="12" spans="3:10" ht="39.75" customHeight="1">
      <c r="C12" s="17"/>
      <c r="D12" s="17"/>
      <c r="E12" s="17"/>
      <c r="G12" s="17"/>
      <c r="H12" s="17"/>
      <c r="I12" s="17"/>
    </row>
    <row r="13" spans="3:10" ht="15" customHeight="1">
      <c r="C13" s="15">
        <f t="array" ref="C13:I13">DaysAndWeeks+DATE(CalendarYear,11,1)-WEEKDAY(DATE(CalendarYear,11,1),(WeekStart="L")+1)+8</f>
        <v>44137</v>
      </c>
      <c r="D13" s="15">
        <v>44138</v>
      </c>
      <c r="E13" s="15">
        <v>44139</v>
      </c>
      <c r="F13" s="15">
        <v>44140</v>
      </c>
      <c r="G13" s="15">
        <v>44141</v>
      </c>
      <c r="H13" s="16">
        <v>44142</v>
      </c>
      <c r="I13" s="16">
        <v>44143</v>
      </c>
    </row>
    <row r="14" spans="3:10" ht="159" customHeight="1">
      <c r="C14" s="17"/>
      <c r="E14" s="133" t="s">
        <v>61</v>
      </c>
      <c r="F14" s="44"/>
      <c r="G14" s="17"/>
      <c r="H14" s="17"/>
      <c r="I14" s="17"/>
    </row>
    <row r="15" spans="3:10" ht="14" customHeight="1">
      <c r="C15" s="15">
        <f t="array" ref="C15:I15">DaysAndWeeks+DATE(CalendarYear,11,1)-WEEKDAY(DATE(CalendarYear,11,1),(WeekStart="L")+1)+15</f>
        <v>44144</v>
      </c>
      <c r="D15" s="15">
        <v>44145</v>
      </c>
      <c r="E15" s="15">
        <v>44146</v>
      </c>
      <c r="F15" s="15">
        <v>44147</v>
      </c>
      <c r="G15" s="15">
        <v>44148</v>
      </c>
      <c r="H15" s="16">
        <v>44149</v>
      </c>
      <c r="I15" s="16">
        <v>44150</v>
      </c>
    </row>
    <row r="16" spans="3:10" ht="33" customHeight="1">
      <c r="C16" s="17"/>
      <c r="D16" s="17"/>
      <c r="F16" s="17"/>
      <c r="G16" s="17"/>
      <c r="H16" s="17"/>
      <c r="I16" s="17"/>
    </row>
    <row r="17" spans="3:14" ht="15" customHeight="1">
      <c r="C17" s="15">
        <f t="array" ref="C17:I17">DaysAndWeeks+DATE(CalendarYear,11,1)-WEEKDAY(DATE(CalendarYear,11,1),(WeekStart="L")+1)+22</f>
        <v>44151</v>
      </c>
      <c r="D17" s="15">
        <v>44152</v>
      </c>
      <c r="E17" s="15">
        <v>44153</v>
      </c>
      <c r="F17" s="15">
        <v>44154</v>
      </c>
      <c r="G17" s="15">
        <v>44155</v>
      </c>
      <c r="H17" s="16">
        <v>44156</v>
      </c>
      <c r="I17" s="16">
        <v>44157</v>
      </c>
    </row>
    <row r="18" spans="3:14" ht="40.5" customHeight="1">
      <c r="C18" s="17"/>
      <c r="D18" s="17"/>
      <c r="E18" s="136"/>
      <c r="F18" s="17"/>
      <c r="G18" s="17"/>
      <c r="H18" s="17"/>
      <c r="I18" s="17"/>
      <c r="L18" s="24"/>
      <c r="N18" s="48"/>
    </row>
    <row r="19" spans="3:14" ht="15" customHeight="1">
      <c r="C19" s="15">
        <f t="array" ref="C19:I19">DaysAndWeeks+DATE(CalendarYear,11,1)-WEEKDAY(DATE(CalendarYear,11,1),(WeekStart="L")+1)+29</f>
        <v>44158</v>
      </c>
      <c r="D19" s="15">
        <v>44159</v>
      </c>
      <c r="E19" s="15">
        <v>44160</v>
      </c>
      <c r="F19" s="15">
        <v>44161</v>
      </c>
      <c r="G19" s="15">
        <v>44162</v>
      </c>
      <c r="H19" s="16">
        <v>44163</v>
      </c>
      <c r="I19" s="16">
        <v>44164</v>
      </c>
    </row>
    <row r="20" spans="3:14" ht="43" customHeight="1">
      <c r="C20" s="47"/>
      <c r="D20" s="17"/>
      <c r="E20" s="17"/>
      <c r="F20" s="17"/>
      <c r="G20" s="17"/>
      <c r="H20" s="17"/>
      <c r="I20" s="17"/>
      <c r="K20" s="24"/>
    </row>
    <row r="21" spans="3:14" ht="15" customHeight="1">
      <c r="C21" s="15">
        <f t="array" ref="C21:I21">DaysAndWeeks+DATE(CalendarYear,11,1)-WEEKDAY(DATE(CalendarYear,11,1),(WeekStart="L")+1)+36</f>
        <v>44165</v>
      </c>
      <c r="D21" s="15">
        <v>44166</v>
      </c>
      <c r="E21" s="15">
        <v>44167</v>
      </c>
      <c r="F21" s="15">
        <v>44168</v>
      </c>
      <c r="G21" s="15">
        <v>44169</v>
      </c>
      <c r="H21" s="15">
        <v>44170</v>
      </c>
      <c r="I21" s="15">
        <v>44171</v>
      </c>
    </row>
    <row r="22" spans="3:14" ht="39.75" customHeight="1">
      <c r="C22" s="18"/>
      <c r="D22" s="18"/>
      <c r="E22" s="18"/>
      <c r="F22" s="18"/>
      <c r="G22" s="18"/>
      <c r="H22" s="18"/>
      <c r="I22" s="17"/>
    </row>
    <row r="23" spans="3:14" s="21" customFormat="1" ht="14.25" customHeight="1">
      <c r="C23" s="27"/>
      <c r="D23" s="27"/>
      <c r="E23" s="27"/>
      <c r="F23" s="27"/>
      <c r="G23" s="27"/>
      <c r="H23" s="27"/>
      <c r="I23" s="27"/>
    </row>
    <row r="24" spans="3:14" s="21" customFormat="1"/>
    <row r="25" spans="3:14" s="21" customFormat="1"/>
    <row r="26" spans="3:14" s="21" customFormat="1"/>
    <row r="27" spans="3:14" s="21" customFormat="1"/>
    <row r="28" spans="3:14" s="21" customFormat="1"/>
    <row r="29" spans="3:14" s="21" customFormat="1"/>
    <row r="30" spans="3:14" s="21" customFormat="1"/>
    <row r="31" spans="3:14" s="21" customFormat="1"/>
    <row r="32" spans="3:14" s="21" customFormat="1"/>
    <row r="33" s="21" customFormat="1"/>
    <row r="34" s="21" customFormat="1"/>
    <row r="35" s="21" customFormat="1"/>
    <row r="36" s="21" customFormat="1"/>
    <row r="37" s="21" customFormat="1"/>
    <row r="38" s="21" customFormat="1"/>
    <row r="39" s="21" customFormat="1"/>
    <row r="40" s="21" customFormat="1"/>
    <row r="41" s="21" customFormat="1"/>
    <row r="42" s="21" customFormat="1"/>
    <row r="43" s="21" customFormat="1"/>
    <row r="44" s="21" customFormat="1"/>
    <row r="45" s="21" customFormat="1"/>
    <row r="46" s="21" customFormat="1"/>
    <row r="47" s="21" customFormat="1"/>
    <row r="48" s="21" customFormat="1"/>
    <row r="49" s="21" customFormat="1"/>
    <row r="50" s="21" customFormat="1"/>
    <row r="51" s="21" customFormat="1"/>
    <row r="52" s="21" customFormat="1"/>
  </sheetData>
  <mergeCells count="2">
    <mergeCell ref="C8:D8"/>
    <mergeCell ref="C9:F9"/>
  </mergeCells>
  <conditionalFormatting sqref="C11:H11">
    <cfRule type="expression" dxfId="2" priority="3">
      <formula>DAY(C11)&gt;8</formula>
    </cfRule>
  </conditionalFormatting>
  <conditionalFormatting sqref="C19:I22">
    <cfRule type="expression" dxfId="1" priority="2">
      <formula>AND(DAY(C19)&gt;=1,DAY(C19)&lt;=15)</formula>
    </cfRule>
  </conditionalFormatting>
  <conditionalFormatting sqref="E14">
    <cfRule type="expression" dxfId="0" priority="1">
      <formula>AND(DAY(E14)&gt;=1,DAY(E14)&lt;=15)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Plan Newsletter - 2022</vt:lpstr>
      <vt:lpstr>Calendario Newsletter</vt:lpstr>
      <vt:lpstr>Marzo</vt:lpstr>
      <vt:lpstr>Abril</vt:lpstr>
      <vt:lpstr>Junio</vt:lpstr>
      <vt:lpstr>Julio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2020-08-27T12:44:29Z</dcterms:created>
  <dcterms:modified xsi:type="dcterms:W3CDTF">2022-06-01T11:35:09Z</dcterms:modified>
  <cp:category/>
  <cp:contentStatus/>
</cp:coreProperties>
</file>